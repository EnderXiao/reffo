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545a856d6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dd9e115d2b145b2"/>
    <x:sheet xmlns:r="http://schemas.openxmlformats.org/officeDocument/2006/relationships" name="30天排期" sheetId="2" r:id="R6431128ebc0b4d57"/>
    <x:sheet xmlns:r="http://schemas.openxmlformats.org/officeDocument/2006/relationships" name="周汇总" sheetId="3" r:id="R4d16ed77bfdf4c9e"/>
    <x:sheet xmlns:r="http://schemas.openxmlformats.org/officeDocument/2006/relationships" name="发布检查清单" sheetId="4" r:id="R9a83abb95eb74cb4"/>
    <x:sheet xmlns:r="http://schemas.openxmlformats.org/officeDocument/2006/relationships" name="来源" sheetId="5" r:id="Rb3909e258a51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2"/>
      <x:color rgb="FFFFFFFF"/>
      <x:name val="Carlito"/>
    </x:font>
    <x:font>
      <x:sz val="11"/>
      <x:color rgb="FF243041"/>
      <x:name val="Carlito"/>
    </x:font>
    <x:font>
      <x:b/>
      <x:sz val="10"/>
      <x:color rgb="FFFFFFFF"/>
      <x:name val="Carlito"/>
    </x:font>
    <x:font>
      <x:sz val="10"/>
      <x:color rgb="FF243041"/>
      <x:name val="Carlito"/>
    </x:font>
    <x:font>
      <x:sz val="9"/>
      <x:color rgb="FF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7F3EA"/>
      </x:patternFill>
    </x:fill>
    <x:fill>
      <x:patternFill patternType="solid">
        <x:fgColor rgb="FFE8664A"/>
      </x:patternFill>
    </x:fill>
    <x:fill>
      <x:patternFill patternType="solid">
        <x:fgColor rgb="FFDCE9F8"/>
      </x:patternFill>
    </x:fill>
    <x:fill>
      <x:patternFill patternType="solid">
        <x:fgColor rgb="FFFFF3C4"/>
      </x:patternFill>
    </x:fill>
  </x:fills>
  <x:borders count="2">
    <x:border/>
    <x:border>
      <x:left style="thin">
        <x:color rgb="FFD6DAE1"/>
      </x:left>
      <x:right style="thin">
        <x:color rgb="FFD6DAE1"/>
      </x:right>
      <x:top style="thin">
        <x:color rgb="FFD6DAE1"/>
      </x:top>
      <x:bottom style="thin">
        <x:color rgb="FFD6DA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1DF"/>
        </x:patternFill>
      </x:fill>
    </x:dxf>
    <x:dxf>
      <x:font>
        <x:color rgb="FF667085"/>
      </x:font>
      <x:fill>
        <x:patternFill patternType="solid">
          <x:bgColor rgb="FFF4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52d7a9998489c" /><Relationship Type="http://schemas.openxmlformats.org/officeDocument/2006/relationships/theme" Target="/xl/theme/theme1.xml" Id="R131d556819574c0e" /><Relationship Type="http://schemas.openxmlformats.org/officeDocument/2006/relationships/sharedStrings" Target="/xl/sharedStrings.xml" Id="R739b6bbb8dbe4af2" /><Relationship Type="http://schemas.openxmlformats.org/officeDocument/2006/relationships/worksheet" Target="/xl/worksheets/sheet1.xml" Id="R1dd9e115d2b145b2" /><Relationship Type="http://schemas.openxmlformats.org/officeDocument/2006/relationships/worksheet" Target="/xl/worksheets/sheet2.xml" Id="R6431128ebc0b4d57" /><Relationship Type="http://schemas.openxmlformats.org/officeDocument/2006/relationships/worksheet" Target="/xl/worksheets/sheet3.xml" Id="R4d16ed77bfdf4c9e" /><Relationship Type="http://schemas.openxmlformats.org/officeDocument/2006/relationships/worksheet" Target="/xl/worksheets/sheet4.xml" Id="R9a83abb95eb74cb4" /><Relationship Type="http://schemas.openxmlformats.org/officeDocument/2006/relationships/worksheet" Target="/xl/worksheets/sheet5.xml" Id="Rb3909e258a5149ff" /></Relationships>
</file>

<file path=xl/tables/table1.xml><?xml version="1.0" encoding="utf-8"?>
<x:table xmlns:x="http://schemas.openxmlformats.org/spreadsheetml/2006/main" id="1" name="CalendarTable" displayName="CalendarTable" ref="A5:U35" headerRowCount="1" totalsRowCount="0" totalsRowShown="0">
  <x:autoFilter ref="A5:U35"/>
  <x:tableColumns count="21">
    <x:tableColumn id="1" name="日序"/>
    <x:tableColumn id="2" name="日期"/>
    <x:tableColumn id="3" name="星期"/>
    <x:tableColumn id="4" name="周次"/>
    <x:tableColumn id="5" name="任务类型"/>
    <x:tableColumn id="6" name="主平台"/>
    <x:tableColumn id="7" name="二次分发"/>
    <x:tableColumn id="8" name="内容支柱"/>
    <x:tableColumn id="9" name="用户分层"/>
    <x:tableColumn id="10" name="题目"/>
    <x:tableColumn id="11" name="钩子"/>
    <x:tableColumn id="12" name="形式"/>
    <x:tableColumn id="13" name="关键证据"/>
    <x:tableColumn id="14" name="CTA"/>
    <x:tableColumn id="15" name="素材需求"/>
    <x:tableColumn id="16" name="负责人"/>
    <x:tableColumn id="17" name="状态"/>
    <x:tableColumn id="18" name="发布时间"/>
    <x:tableColumn id="19" name="主指标"/>
    <x:tableColumn id="20" name="合规提示"/>
    <x:tableColumn id="21" name="来源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" displayName="WeeklyTable" ref="A5:H10" headerRowCount="1" totalsRowCount="0" totalsRowShown="0">
  <x:autoFilter ref="A5:H10"/>
  <x:tableColumns count="8">
    <x:tableColumn id="1" name="周次"/>
    <x:tableColumn id="2" name="发布任务"/>
    <x:tableColumn id="3" name="运营任务"/>
    <x:tableColumn id="4" name="短视频"/>
    <x:tableColumn id="5" name="图文"/>
    <x:tableColumn id="6" name="P1/P2核心内容"/>
    <x:tableColumn id="7" name="重点目标"/>
    <x:tableColumn id="8" name="复盘问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cklistTable" displayName="ChecklistTable" ref="A5:F19" headerRowCount="1" totalsRowCount="0" totalsRowShown="0">
  <x:autoFilter ref="A5:F19"/>
  <x:tableColumns count="6">
    <x:tableColumn id="1" name="类别"/>
    <x:tableColumn id="2" name="检查项"/>
    <x:tableColumn id="3" name="适用条件"/>
    <x:tableColumn id="4" name="默认要求"/>
    <x:tableColumn id="5" name="责任人"/>
    <x:tableColumn id="6" name="记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来源Table" displayName="来源Table" ref="A5:F21" headerRowCount="1" totalsRowCount="0" totalsRowShown="0">
  <x:autoFilter ref="A5:F21"/>
  <x:tableColumns count="6">
    <x:tableColumn id="1" name="来源ID"/>
    <x:tableColumn id="2" name="来源"/>
    <x:tableColumn id="3" name="类型"/>
    <x:tableColumn id="4" name="页面/发布日期"/>
    <x:tableColumn id="5" name="支持结论"/>
    <x:tableColumn id="6" name="原始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e4d284ee1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9e21ec11674b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8f549e71c549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380ba0099a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28" hidden="0" customWidth="1"/>
    <x:col min="5" max="5" width="16" hidden="0" customWidth="1"/>
    <x:col min="6" max="6" width="20" hidden="0" customWidth="1"/>
    <x:col min="7" max="7" width="16" hidden="0" customWidth="1"/>
    <x:col min="8" max="8" width="18" hidden="0" customWidth="1"/>
  </x:cols>
  <x:sheetData>
    <x:row r="1" ht="34" customHeight="1">
      <x:c r="A1" s="3" t="str">
        <x:v>Reffo 30天内容排期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执行周期：2026-08-17—2026-09-15｜小红书为主｜黄色为可编辑输入｜目标值均为内部假设</x:v>
      </x:c>
      <x:c r="B2" s="7"/>
      <x:c r="C2" s="7"/>
      <x:c r="D2" s="7"/>
      <x:c r="E2" s="7"/>
      <x:c r="F2" s="7"/>
      <x:c r="G2" s="7"/>
      <x:c r="H2" s="7"/>
    </x:row>
    <x:row r="5">
      <x:c r="A5" s="9" t="str">
        <x:v>首月目标</x:v>
      </x:c>
      <x:c r="B5" s="9"/>
      <x:c r="C5" s="9"/>
      <x:c r="D5" s="9"/>
      <x:c r="E5" s="9"/>
      <x:c r="F5" s="9"/>
      <x:c r="G5" s="9"/>
      <x:c r="H5" s="9"/>
    </x:row>
    <x:row r="6" ht="34" customHeight="1">
      <x:c r="A6" s="12" t="str">
        <x:v>小红书发布</x:v>
      </x:c>
      <x:c r="B6" s="12" t="n">
        <x:v>24</x:v>
      </x:c>
      <x:c r="C6" s="12" t="str">
        <x:v>条</x:v>
      </x:c>
      <x:c r="D6" s="12" t="str">
        <x:v>图文16、短视频8</x:v>
      </x:c>
      <x:c r="E6" s="12" t="str">
        <x:v>内容支柱</x:v>
      </x:c>
      <x:c r="F6" s="12" t="str">
        <x:v>P1/P2各25%</x:v>
      </x:c>
      <x:c r="G6" s="12" t="str">
        <x:v>种子用户</x:v>
      </x:c>
      <x:c r="H6" s="12" t="str">
        <x:v>30—50人</x:v>
      </x:c>
    </x:row>
    <x:row r="7" ht="34" customHeight="1">
      <x:c r="A7" s="12" t="str">
        <x:v>主平台</x:v>
      </x:c>
      <x:c r="B7" s="12" t="str">
        <x:v>小红书</x:v>
      </x:c>
      <x:c r="C7" s="12" t="str"/>
      <x:c r="D7" s="12" t="str">
        <x:v>先验证再跨平台复用</x:v>
      </x:c>
      <x:c r="E7" s="12" t="str">
        <x:v>北极星</x:v>
      </x:c>
      <x:c r="F7" s="12" t="str">
        <x:v>D7第二岗位用户</x:v>
      </x:c>
      <x:c r="G7" s="12" t="str">
        <x:v>审核节点</x:v>
      </x:c>
      <x:c r="H7" s="12" t="str">
        <x:v>第30天暂停</x:v>
      </x:c>
    </x:row>
    <x:row r="8" ht="34" customHeight="1">
      <x:c r="A8" s="12" t="str">
        <x:v>内部阈值</x:v>
      </x:c>
      <x:c r="B8" s="12" t="str">
        <x:v>互动率≥5%</x:v>
      </x:c>
      <x:c r="C8" s="12" t="str"/>
      <x:c r="D8" s="12" t="str">
        <x:v>第14天按账号中位数校准</x:v>
      </x:c>
      <x:c r="E8" s="12" t="str">
        <x:v>收藏率</x:v>
      </x:c>
      <x:c r="F8" s="12" t="str">
        <x:v>≥2.5%</x:v>
      </x:c>
      <x:c r="G8" s="12" t="str">
        <x:v>首次激活率</x:v>
      </x:c>
      <x:c r="H8" s="12" t="str">
        <x:v>≥35%</x:v>
      </x:c>
    </x:row>
    <x:row r="10" ht="42" customHeight="1">
      <x:c r="A10" s="15" t="str">
        <x:v>状态使用：待策划 → 制作中 → 待审核 → 已排期 → 已发布 → 复盘完成；出现产品证据、授权或合规问题时标“阻塞”。运营日不发布营销内容。</x:v>
      </x:c>
      <x:c r="B10" s="15"/>
      <x:c r="C10" s="15"/>
      <x:c r="D10" s="15"/>
      <x:c r="E10" s="15"/>
      <x:c r="F10" s="15"/>
      <x:c r="G10" s="15"/>
      <x:c r="H10" s="15"/>
    </x:row>
  </x:sheetData>
  <x:mergeCells>
    <x:mergeCell ref="A1:H1"/>
    <x:mergeCell ref="A2:H2"/>
    <x:mergeCell ref="A5:H5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9" hidden="0" customWidth="1"/>
    <x:col min="5" max="5" width="10" hidden="0" customWidth="1"/>
    <x:col min="6" max="6" width="11" hidden="0" customWidth="1"/>
    <x:col min="7" max="7" width="16" hidden="0" customWidth="1"/>
    <x:col min="8" max="8" width="18" hidden="0" customWidth="1"/>
    <x:col min="9" max="9" width="12" hidden="0" customWidth="1"/>
    <x:col min="10" max="10" width="36" hidden="0" customWidth="1"/>
    <x:col min="11" max="11" width="34" hidden="0" customWidth="1"/>
    <x:col min="12" max="12" width="14" hidden="0" customWidth="1"/>
    <x:col min="13" max="13" width="16" hidden="0" customWidth="1"/>
    <x:col min="14" max="14" width="28" hidden="0" customWidth="1"/>
    <x:col min="15" max="15" width="34" hidden="0" customWidth="1"/>
    <x:col min="16" max="16" width="10" hidden="0" customWidth="1"/>
    <x:col min="17" max="17" width="12" hidden="0" customWidth="1"/>
    <x:col min="18" max="18" width="11" hidden="0" customWidth="1"/>
    <x:col min="19" max="19" width="20" hidden="0" customWidth="1"/>
    <x:col min="20" max="20" width="38" hidden="0" customWidth="1"/>
    <x:col min="21" max="21" width="16" hidden="0" customWidth="1"/>
  </x:cols>
  <x:sheetData>
    <x:row r="1" ht="34" customHeight="1">
      <x:c r="A1" s="3" t="str">
        <x:v>30天每日内容与运营动作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7" t="str">
        <x:v>所有真实App画面必须来自当前H5截图/录屏；分享、Word/PDF输出、自动投递等未上线能力不得宣传。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5" ht="30" customHeight="1">
      <x:c r="A5" s="20" t="str">
        <x:v>日序</x:v>
      </x:c>
      <x:c r="B5" s="20" t="str">
        <x:v>日期</x:v>
      </x:c>
      <x:c r="C5" s="20" t="str">
        <x:v>星期</x:v>
      </x:c>
      <x:c r="D5" s="20" t="str">
        <x:v>周次</x:v>
      </x:c>
      <x:c r="E5" s="20" t="str">
        <x:v>任务类型</x:v>
      </x:c>
      <x:c r="F5" s="20" t="str">
        <x:v>主平台</x:v>
      </x:c>
      <x:c r="G5" s="20" t="str">
        <x:v>二次分发</x:v>
      </x:c>
      <x:c r="H5" s="20" t="str">
        <x:v>内容支柱</x:v>
      </x:c>
      <x:c r="I5" s="20" t="str">
        <x:v>用户分层</x:v>
      </x:c>
      <x:c r="J5" s="20" t="str">
        <x:v>题目</x:v>
      </x:c>
      <x:c r="K5" s="20" t="str">
        <x:v>钩子</x:v>
      </x:c>
      <x:c r="L5" s="20" t="str">
        <x:v>形式</x:v>
      </x:c>
      <x:c r="M5" s="20" t="str">
        <x:v>关键证据</x:v>
      </x:c>
      <x:c r="N5" s="20" t="str">
        <x:v>CTA</x:v>
      </x:c>
      <x:c r="O5" s="20" t="str">
        <x:v>素材需求</x:v>
      </x:c>
      <x:c r="P5" s="20" t="str">
        <x:v>负责人</x:v>
      </x:c>
      <x:c r="Q5" s="20" t="str">
        <x:v>状态</x:v>
      </x:c>
      <x:c r="R5" s="20" t="str">
        <x:v>发布时间</x:v>
      </x:c>
      <x:c r="S5" s="20" t="str">
        <x:v>主指标</x:v>
      </x:c>
      <x:c r="T5" s="20" t="str">
        <x:v>合规提示</x:v>
      </x:c>
      <x:c r="U5" s="20" t="str">
        <x:v>来源ID</x:v>
      </x:c>
    </x:row>
    <x:row r="6" ht="44" customHeight="1">
      <x:c r="A6" s="24" t="n">
        <x:v>1</x:v>
      </x:c>
      <x:c r="B6" s="25" t="n">
        <x:v>46251</x:v>
      </x:c>
      <x:c r="C6" s="24" t="str">
        <x:v>周一</x:v>
      </x:c>
      <x:c r="D6" s="24" t="str">
        <x:v>第1周</x:v>
      </x:c>
      <x:c r="E6" s="24" t="str">
        <x:v>发布</x:v>
      </x:c>
      <x:c r="F6" s="24" t="str">
        <x:v>小红书</x:v>
      </x:c>
      <x:c r="G6" s="24" t="str">
        <x:v>微信公众号</x:v>
      </x:c>
      <x:c r="H6" s="24" t="str">
        <x:v>P2 一岗一简历</x:v>
      </x:c>
      <x:c r="I6" s="24" t="str">
        <x:v>A1/A2</x:v>
      </x:c>
      <x:c r="J6" s="24" t="str">
        <x:v>一岗一简历到底是什么？同一份简历为什么不能横投</x:v>
      </x:c>
      <x:c r="K6" s="24" t="str">
        <x:v>换岗位时，真正要换的不是模板，而是证据顺序</x:v>
      </x:c>
      <x:c r="L6" s="24" t="str">
        <x:v>8页图文</x:v>
      </x:c>
      <x:c r="M6" s="24" t="str">
        <x:v>F-01/F-02/F-19</x:v>
      </x:c>
      <x:c r="N6" s="24" t="str">
        <x:v>保存后列出你正在投的3个岗位</x:v>
      </x:c>
      <x:c r="O6" s="24" t="str">
        <x:v>首页卡片堆真实截图；虚构岗位样例</x:v>
      </x:c>
      <x:c r="P6" s="26" t="str">
        <x:v>运营</x:v>
      </x:c>
      <x:c r="Q6" s="26" t="str">
        <x:v>待策划</x:v>
      </x:c>
      <x:c r="R6" s="26" t="str">
        <x:v>20:30</x:v>
      </x:c>
      <x:c r="S6" s="24" t="str">
        <x:v>收藏率/主页访问率</x:v>
      </x:c>
      <x:c r="T6" s="24" t="str">
        <x:v>不写通过率或最佳；保留AI核验提示</x:v>
      </x:c>
      <x:c r="U6" s="24" t="str">
        <x:v>S-01/S-05</x:v>
      </x:c>
    </x:row>
    <x:row r="7" ht="44" customHeight="1">
      <x:c r="A7" s="24" t="n">
        <x:v>2</x:v>
      </x:c>
      <x:c r="B7" s="25" t="n">
        <x:v>46252</x:v>
      </x:c>
      <x:c r="C7" s="24" t="str">
        <x:v>周二</x:v>
      </x:c>
      <x:c r="D7" s="24" t="str">
        <x:v>第1周</x:v>
      </x:c>
      <x:c r="E7" s="24" t="str">
        <x:v>发布</x:v>
      </x:c>
      <x:c r="F7" s="24" t="str">
        <x:v>小红书</x:v>
      </x:c>
      <x:c r="G7" s="24" t="str">
        <x:v>Bilibili/视频号</x:v>
      </x:c>
      <x:c r="H7" s="24" t="str">
        <x:v>P5 产品透明</x:v>
      </x:c>
      <x:c r="I7" s="24" t="str">
        <x:v>全部</x:v>
      </x:c>
      <x:c r="J7" s="24" t="str">
        <x:v>60秒看懂 Reffo：从源简历到岗位卡片</x:v>
      </x:c>
      <x:c r="K7" s="24" t="str">
        <x:v>只用真实H5录屏，看看它实际能做什么</x:v>
      </x:c>
      <x:c r="L7" s="24" t="str">
        <x:v>30秒短视频</x:v>
      </x:c>
      <x:c r="M7" s="24" t="str">
        <x:v>F-02/F-06/F-10/F-13/F-16/F-19</x:v>
      </x:c>
      <x:c r="N7" s="24" t="str">
        <x:v>主页置顶查看完整边界</x:v>
      </x:c>
      <x:c r="O7" s="24" t="str">
        <x:v>真实H5全流程录屏；字幕源文件</x:v>
      </x:c>
      <x:c r="P7" s="26" t="str">
        <x:v>视频</x:v>
      </x:c>
      <x:c r="Q7" s="26" t="str">
        <x:v>待策划</x:v>
      </x:c>
      <x:c r="R7" s="26" t="str">
        <x:v>12:15</x:v>
      </x:c>
      <x:c r="S7" s="24" t="str">
        <x:v>完播率/主页访问率</x:v>
      </x:c>
      <x:c r="T7" s="24" t="str">
        <x:v>Markdown格式；分享未上线；AI提示清晰</x:v>
      </x:c>
      <x:c r="U7" s="24" t="str">
        <x:v>S-02/S-03</x:v>
      </x:c>
    </x:row>
    <x:row r="8" ht="44" customHeight="1">
      <x:c r="A8" s="24" t="n">
        <x:v>3</x:v>
      </x:c>
      <x:c r="B8" s="25" t="n">
        <x:v>46253</x:v>
      </x:c>
      <x:c r="C8" s="24" t="str">
        <x:v>周三</x:v>
      </x:c>
      <x:c r="D8" s="24" t="str">
        <x:v>第1周</x:v>
      </x:c>
      <x:c r="E8" s="24" t="str">
        <x:v>发布</x:v>
      </x:c>
      <x:c r="F8" s="24" t="str">
        <x:v>小红书</x:v>
      </x:c>
      <x:c r="G8" s="24" t="str">
        <x:v>知乎</x:v>
      </x:c>
      <x:c r="H8" s="24" t="str">
        <x:v>P1 JD拆解</x:v>
      </x:c>
      <x:c r="I8" s="24" t="str">
        <x:v>A1/A2</x:v>
      </x:c>
      <x:c r="J8" s="24" t="str">
        <x:v>JD不是关键词表：先拆成这3类要求</x:v>
      </x:c>
      <x:c r="K8" s="24" t="str">
        <x:v>必需、优先、加分，排序比堆词更重要</x:v>
      </x:c>
      <x:c r="L8" s="24" t="str">
        <x:v>7页图文</x:v>
      </x:c>
      <x:c r="M8" s="24" t="str">
        <x:v>F-09/F-10</x:v>
      </x:c>
      <x:c r="N8" s="24" t="str">
        <x:v>保存这张JD拆解顺序</x:v>
      </x:c>
      <x:c r="O8" s="24" t="str">
        <x:v>虚构JD；结构示意</x:v>
      </x:c>
      <x:c r="P8" s="26" t="str">
        <x:v>内容</x:v>
      </x:c>
      <x:c r="Q8" s="26" t="str">
        <x:v>待策划</x:v>
      </x:c>
      <x:c r="R8" s="26" t="str">
        <x:v>20:30</x:v>
      </x:c>
      <x:c r="S8" s="24" t="str">
        <x:v>收藏率/搜索阅读</x:v>
      </x:c>
      <x:c r="T8" s="24" t="str">
        <x:v>机制示意不能伪装产品UI</x:v>
      </x:c>
      <x:c r="U8" s="24" t="str">
        <x:v>S-05/S-07</x:v>
      </x:c>
    </x:row>
    <x:row r="9" ht="44" customHeight="1">
      <x:c r="A9" s="24" t="n">
        <x:v>4</x:v>
      </x:c>
      <x:c r="B9" s="25" t="n">
        <x:v>46254</x:v>
      </x:c>
      <x:c r="C9" s="24" t="str">
        <x:v>周四</x:v>
      </x:c>
      <x:c r="D9" s="24" t="str">
        <x:v>第1周</x:v>
      </x:c>
      <x:c r="E9" s="24" t="str">
        <x:v>发布</x:v>
      </x:c>
      <x:c r="F9" s="24" t="str">
        <x:v>小红书</x:v>
      </x:c>
      <x:c r="G9" s="24" t="str">
        <x:v>微信公众号</x:v>
      </x:c>
      <x:c r="H9" s="24" t="str">
        <x:v>P3 简历自查</x:v>
      </x:c>
      <x:c r="I9" s="24" t="str">
        <x:v>A1</x:v>
      </x:c>
      <x:c r="J9" s="24" t="str">
        <x:v>应届生经历少，先别急着“包装”</x:v>
      </x:c>
      <x:c r="K9" s="24" t="str">
        <x:v>先把课程、项目、社团拆成可核对的证据</x:v>
      </x:c>
      <x:c r="L9" s="24" t="str">
        <x:v>8页图文</x:v>
      </x:c>
      <x:c r="M9" s="24" t="str">
        <x:v>F-08/F-12/F-30</x:v>
      </x:c>
      <x:c r="N9" s="24" t="str">
        <x:v>按清单补齐事实，不补不存在的结果</x:v>
      </x:c>
      <x:c r="O9" s="24" t="str">
        <x:v>虚构应届生证据表</x:v>
      </x:c>
      <x:c r="P9" s="26" t="str">
        <x:v>内容</x:v>
      </x:c>
      <x:c r="Q9" s="26" t="str">
        <x:v>待策划</x:v>
      </x:c>
      <x:c r="R9" s="26" t="str">
        <x:v>12:15</x:v>
      </x:c>
      <x:c r="S9" s="24" t="str">
        <x:v>收藏率/有效评论</x:v>
      </x:c>
      <x:c r="T9" s="24" t="str">
        <x:v>禁止鼓励编造数字和经历</x:v>
      </x:c>
      <x:c r="U9" s="24" t="str">
        <x:v>S-05/S-06</x:v>
      </x:c>
    </x:row>
    <x:row r="10" ht="44" customHeight="1">
      <x:c r="A10" s="24" t="n">
        <x:v>5</x:v>
      </x:c>
      <x:c r="B10" s="25" t="n">
        <x:v>46255</x:v>
      </x:c>
      <x:c r="C10" s="24" t="str">
        <x:v>周五</x:v>
      </x:c>
      <x:c r="D10" s="24" t="str">
        <x:v>第1周</x:v>
      </x:c>
      <x:c r="E10" s="24" t="str">
        <x:v>发布</x:v>
      </x:c>
      <x:c r="F10" s="24" t="str">
        <x:v>小红书</x:v>
      </x:c>
      <x:c r="G10" s="24" t="str">
        <x:v>抖音/视频号</x:v>
      </x:c>
      <x:c r="H10" s="24" t="str">
        <x:v>P2 一岗一简历</x:v>
      </x:c>
      <x:c r="I10" s="24" t="str">
        <x:v>A2/A3</x:v>
      </x:c>
      <x:c r="J10" s="24" t="str">
        <x:v>同一段项目经历，投产品和运营怎么换重点</x:v>
      </x:c>
      <x:c r="K10" s="24" t="str">
        <x:v>换的是重点，不是换一段故事</x:v>
      </x:c>
      <x:c r="L10" s="24" t="str">
        <x:v>25秒短视频</x:v>
      </x:c>
      <x:c r="M10" s="24" t="str">
        <x:v>F-01/F-12/F-14</x:v>
      </x:c>
      <x:c r="N10" s="24" t="str">
        <x:v>核对你的项目里有哪些真实证据</x:v>
      </x:c>
      <x:c r="O10" s="24" t="str">
        <x:v>授权或虚构项目；真实编辑录屏</x:v>
      </x:c>
      <x:c r="P10" s="26" t="str">
        <x:v>视频</x:v>
      </x:c>
      <x:c r="Q10" s="26" t="str">
        <x:v>待策划</x:v>
      </x:c>
      <x:c r="R10" s="26" t="str">
        <x:v>20:30</x:v>
      </x:c>
      <x:c r="S10" s="24" t="str">
        <x:v>完播率/激活率</x:v>
      </x:c>
      <x:c r="T10" s="24" t="str">
        <x:v>不能新增不存在的指标</x:v>
      </x:c>
      <x:c r="U10" s="24" t="str">
        <x:v>S-07</x:v>
      </x:c>
    </x:row>
    <x:row r="11" ht="44" customHeight="1">
      <x:c r="A11" s="24" t="n">
        <x:v>6</x:v>
      </x:c>
      <x:c r="B11" s="25" t="n">
        <x:v>46256</x:v>
      </x:c>
      <x:c r="C11" s="24" t="str">
        <x:v>周六</x:v>
      </x:c>
      <x:c r="D11" s="24" t="str">
        <x:v>第1周</x:v>
      </x:c>
      <x:c r="E11" s="24" t="str">
        <x:v>发布</x:v>
      </x:c>
      <x:c r="F11" s="24" t="str">
        <x:v>小红书</x:v>
      </x:c>
      <x:c r="G11" s="24" t="str">
        <x:v>无</x:v>
      </x:c>
      <x:c r="H11" s="24" t="str">
        <x:v>P5 产品透明</x:v>
      </x:c>
      <x:c r="I11" s="24" t="str">
        <x:v>全部</x:v>
      </x:c>
      <x:c r="J11" s="24" t="str">
        <x:v>Reffo内测招募：我们需要愿意挑错的人</x:v>
      </x:c>
      <x:c r="K11" s="24" t="str">
        <x:v>不求好评，只想知道AI初稿哪里不可信</x:v>
      </x:c>
      <x:c r="L11" s="24" t="str">
        <x:v>6页图文</x:v>
      </x:c>
      <x:c r="M11" s="24" t="str">
        <x:v>F-30/N-09/N-14</x:v>
      </x:c>
      <x:c r="N11" s="24" t="str">
        <x:v>在站内说明岗位与简历格式</x:v>
      </x:c>
      <x:c r="O11" s="24" t="str">
        <x:v>内测规则；隐私边界；支持格式</x:v>
      </x:c>
      <x:c r="P11" s="26" t="str">
        <x:v>运营</x:v>
      </x:c>
      <x:c r="Q11" s="26" t="str">
        <x:v>待策划</x:v>
      </x:c>
      <x:c r="R11" s="26" t="str">
        <x:v>11:30</x:v>
      </x:c>
      <x:c r="S11" s="24" t="str">
        <x:v>有效线索/招募数</x:v>
      </x:c>
      <x:c r="T11" s="24" t="str">
        <x:v>体验与案例授权分开；不诱导评论</x:v>
      </x:c>
      <x:c r="U11" s="24" t="str">
        <x:v>S-02/S-03/S-15</x:v>
      </x:c>
    </x:row>
    <x:row r="12" ht="44" customHeight="1">
      <x:c r="A12" s="24" t="n">
        <x:v>7</x:v>
      </x:c>
      <x:c r="B12" s="25" t="n">
        <x:v>46257</x:v>
      </x:c>
      <x:c r="C12" s="24" t="str">
        <x:v>周日</x:v>
      </x:c>
      <x:c r="D12" s="24" t="str">
        <x:v>第1周</x:v>
      </x:c>
      <x:c r="E12" s="24" t="str">
        <x:v>运营</x:v>
      </x:c>
      <x:c r="F12" s="24" t="str">
        <x:v>小红书</x:v>
      </x:c>
      <x:c r="G12" s="24" t="str">
        <x:v>无</x:v>
      </x:c>
      <x:c r="H12" s="24" t="str">
        <x:v>复盘</x:v>
      </x:c>
      <x:c r="I12" s="24" t="str">
        <x:v>全部</x:v>
      </x:c>
      <x:c r="J12" s="24" t="str">
        <x:v>第1周内容与评论复盘</x:v>
      </x:c>
      <x:c r="K12" s="24" t="str">
        <x:v>不发布：记录前6条的72小时数据</x:v>
      </x:c>
      <x:c r="L12" s="24" t="str">
        <x:v>数据复盘</x:v>
      </x:c>
      <x:c r="M12" s="24" t="str">
        <x:v>无</x:v>
      </x:c>
      <x:c r="N12" s="24" t="str">
        <x:v>无</x:v>
      </x:c>
      <x:c r="O12" s="24" t="str">
        <x:v>数据看板；评论问题摘录（去标识）</x:v>
      </x:c>
      <x:c r="P12" s="26" t="str">
        <x:v>运营</x:v>
      </x:c>
      <x:c r="Q12" s="26" t="str">
        <x:v>待策划</x:v>
      </x:c>
      <x:c r="R12" s="26" t="str">
        <x:v>—</x:v>
      </x:c>
      <x:c r="S12" s="24" t="str">
        <x:v>周复盘完成率</x:v>
      </x:c>
      <x:c r="T12" s="24" t="str">
        <x:v>不保存不必要的用户个人信息</x:v>
      </x:c>
      <x:c r="U12" s="24" t="str">
        <x:v>S-03/S-15</x:v>
      </x:c>
    </x:row>
    <x:row r="13" ht="44" customHeight="1">
      <x:c r="A13" s="24" t="n">
        <x:v>8</x:v>
      </x:c>
      <x:c r="B13" s="25" t="n">
        <x:v>46258</x:v>
      </x:c>
      <x:c r="C13" s="24" t="str">
        <x:v>周一</x:v>
      </x:c>
      <x:c r="D13" s="24" t="str">
        <x:v>第2周</x:v>
      </x:c>
      <x:c r="E13" s="24" t="str">
        <x:v>发布</x:v>
      </x:c>
      <x:c r="F13" s="24" t="str">
        <x:v>小红书</x:v>
      </x:c>
      <x:c r="G13" s="24" t="str">
        <x:v>Bilibili</x:v>
      </x:c>
      <x:c r="H13" s="24" t="str">
        <x:v>P1 JD拆解</x:v>
      </x:c>
      <x:c r="I13" s="24" t="str">
        <x:v>A1/A2</x:v>
      </x:c>
      <x:c r="J13" s="24" t="str">
        <x:v>产品经理JD逐句拆：哪些是结果，哪些是过程</x:v>
      </x:c>
      <x:c r="K13" s="24" t="str">
        <x:v>看到“负责”不要只抄职责，要找对应结果证据</x:v>
      </x:c>
      <x:c r="L13" s="24" t="str">
        <x:v>30秒短视频</x:v>
      </x:c>
      <x:c r="M13" s="24" t="str">
        <x:v>F-09/F-10</x:v>
      </x:c>
      <x:c r="N13" s="24" t="str">
        <x:v>用同样方法拆你的目标JD</x:v>
      </x:c>
      <x:c r="O13" s="24" t="str">
        <x:v>虚构产品经理JD；真实结果页录屏</x:v>
      </x:c>
      <x:c r="P13" s="26" t="str">
        <x:v>视频</x:v>
      </x:c>
      <x:c r="Q13" s="26" t="str">
        <x:v>待策划</x:v>
      </x:c>
      <x:c r="R13" s="26" t="str">
        <x:v>20:30</x:v>
      </x:c>
      <x:c r="S13" s="24" t="str">
        <x:v>完播率/收藏率</x:v>
      </x:c>
      <x:c r="T13" s="24" t="str">
        <x:v>不使用真实公司未公开JD</x:v>
      </x:c>
      <x:c r="U13" s="24" t="str">
        <x:v>S-05</x:v>
      </x:c>
    </x:row>
    <x:row r="14" ht="44" customHeight="1">
      <x:c r="A14" s="24" t="n">
        <x:v>9</x:v>
      </x:c>
      <x:c r="B14" s="25" t="n">
        <x:v>46259</x:v>
      </x:c>
      <x:c r="C14" s="24" t="str">
        <x:v>周二</x:v>
      </x:c>
      <x:c r="D14" s="24" t="str">
        <x:v>第2周</x:v>
      </x:c>
      <x:c r="E14" s="24" t="str">
        <x:v>发布</x:v>
      </x:c>
      <x:c r="F14" s="24" t="str">
        <x:v>小红书</x:v>
      </x:c>
      <x:c r="G14" s="24" t="str">
        <x:v>知乎</x:v>
      </x:c>
      <x:c r="H14" s="24" t="str">
        <x:v>P1 JD拆解</x:v>
      </x:c>
      <x:c r="I14" s="24" t="str">
        <x:v>A3</x:v>
      </x:c>
      <x:c r="J14" s="24" t="str">
        <x:v>简历没写 ≠ 你不会：先判断3种证据缺口</x:v>
      </x:c>
      <x:c r="K14" s="24" t="str">
        <x:v>直接缺失、隐含证据、只是措辞没对齐</x:v>
      </x:c>
      <x:c r="L14" s="24" t="str">
        <x:v>8页图文</x:v>
      </x:c>
      <x:c r="M14" s="24" t="str">
        <x:v>F-11/F-12</x:v>
      </x:c>
      <x:c r="N14" s="24" t="str">
        <x:v>把“不会”改成可验证的问题</x:v>
      </x:c>
      <x:c r="O14" s="24" t="str">
        <x:v>机制示意；三类标签</x:v>
      </x:c>
      <x:c r="P14" s="26" t="str">
        <x:v>内容</x:v>
      </x:c>
      <x:c r="Q14" s="26" t="str">
        <x:v>待策划</x:v>
      </x:c>
      <x:c r="R14" s="26" t="str">
        <x:v>12:15</x:v>
      </x:c>
      <x:c r="S14" s="24" t="str">
        <x:v>收藏率/有效评论</x:v>
      </x:c>
      <x:c r="T14" s="24" t="str">
        <x:v>标注机制示意；不伪造成现有UI</x:v>
      </x:c>
      <x:c r="U14" s="24" t="str">
        <x:v>S-07</x:v>
      </x:c>
    </x:row>
    <x:row r="15" ht="44" customHeight="1">
      <x:c r="A15" s="24" t="n">
        <x:v>10</x:v>
      </x:c>
      <x:c r="B15" s="25" t="n">
        <x:v>46260</x:v>
      </x:c>
      <x:c r="C15" s="24" t="str">
        <x:v>周三</x:v>
      </x:c>
      <x:c r="D15" s="24" t="str">
        <x:v>第2周</x:v>
      </x:c>
      <x:c r="E15" s="24" t="str">
        <x:v>发布</x:v>
      </x:c>
      <x:c r="F15" s="24" t="str">
        <x:v>小红书</x:v>
      </x:c>
      <x:c r="G15" s="24" t="str">
        <x:v>微信公众号</x:v>
      </x:c>
      <x:c r="H15" s="24" t="str">
        <x:v>P2 一岗一简历</x:v>
      </x:c>
      <x:c r="I15" s="24" t="str">
        <x:v>A3</x:v>
      </x:c>
      <x:c r="J15" s="24" t="str">
        <x:v>转行简历别先换行业黑话，先做迁移证据表</x:v>
      </x:c>
      <x:c r="K15" s="24" t="str">
        <x:v>旧行业里的哪些动作能被新岗位验证？</x:v>
      </x:c>
      <x:c r="L15" s="24" t="str">
        <x:v>9页图文</x:v>
      </x:c>
      <x:c r="M15" s="24" t="str">
        <x:v>F-10/F-12</x:v>
      </x:c>
      <x:c r="N15" s="24" t="str">
        <x:v>保存迁移证据的4列模板</x:v>
      </x:c>
      <x:c r="O15" s="24" t="str">
        <x:v>虚构转行案例；可编辑表格</x:v>
      </x:c>
      <x:c r="P15" s="26" t="str">
        <x:v>内容</x:v>
      </x:c>
      <x:c r="Q15" s="26" t="str">
        <x:v>待策划</x:v>
      </x:c>
      <x:c r="R15" s="26" t="str">
        <x:v>20:30</x:v>
      </x:c>
      <x:c r="S15" s="24" t="str">
        <x:v>收藏率/线索率</x:v>
      </x:c>
      <x:c r="T15" s="24" t="str">
        <x:v>不虚构新行业经验</x:v>
      </x:c>
      <x:c r="U15" s="24" t="str">
        <x:v>S-05/S-07</x:v>
      </x:c>
    </x:row>
    <x:row r="16" ht="44" customHeight="1">
      <x:c r="A16" s="24" t="n">
        <x:v>11</x:v>
      </x:c>
      <x:c r="B16" s="25" t="n">
        <x:v>46261</x:v>
      </x:c>
      <x:c r="C16" s="24" t="str">
        <x:v>周四</x:v>
      </x:c>
      <x:c r="D16" s="24" t="str">
        <x:v>第2周</x:v>
      </x:c>
      <x:c r="E16" s="24" t="str">
        <x:v>发布</x:v>
      </x:c>
      <x:c r="F16" s="24" t="str">
        <x:v>小红书</x:v>
      </x:c>
      <x:c r="G16" s="24" t="str">
        <x:v>抖音/视频号</x:v>
      </x:c>
      <x:c r="H16" s="24" t="str">
        <x:v>P2 一岗一简历</x:v>
      </x:c>
      <x:c r="I16" s="24" t="str">
        <x:v>A1/A2</x:v>
      </x:c>
      <x:c r="J16" s="24" t="str">
        <x:v>AI初稿不是终稿：逐行编辑真实演示</x:v>
      </x:c>
      <x:c r="K16" s="24" t="str">
        <x:v>生成后第一件事，不是下载，是核对</x:v>
      </x:c>
      <x:c r="L16" s="24" t="str">
        <x:v>25秒短视频</x:v>
      </x:c>
      <x:c r="M16" s="24" t="str">
        <x:v>F-13/F-14/F-15/F-30</x:v>
      </x:c>
      <x:c r="N16" s="24" t="str">
        <x:v>按姓名、时间、数字、经历四项核对</x:v>
      </x:c>
      <x:c r="O16" s="24" t="str">
        <x:v>真实编辑与下载录屏</x:v>
      </x:c>
      <x:c r="P16" s="26" t="str">
        <x:v>视频</x:v>
      </x:c>
      <x:c r="Q16" s="26" t="str">
        <x:v>待策划</x:v>
      </x:c>
      <x:c r="R16" s="26" t="str">
        <x:v>12:15</x:v>
      </x:c>
      <x:c r="S16" s="24" t="str">
        <x:v>完播率/编辑率</x:v>
      </x:c>
      <x:c r="T16" s="24" t="str">
        <x:v>不展示真实个人信息</x:v>
      </x:c>
      <x:c r="U16" s="24" t="str">
        <x:v>S-14/S-15</x:v>
      </x:c>
    </x:row>
    <x:row r="17" ht="44" customHeight="1">
      <x:c r="A17" s="24" t="n">
        <x:v>12</x:v>
      </x:c>
      <x:c r="B17" s="25" t="n">
        <x:v>46262</x:v>
      </x:c>
      <x:c r="C17" s="24" t="str">
        <x:v>周五</x:v>
      </x:c>
      <x:c r="D17" s="24" t="str">
        <x:v>第2周</x:v>
      </x:c>
      <x:c r="E17" s="24" t="str">
        <x:v>发布</x:v>
      </x:c>
      <x:c r="F17" s="24" t="str">
        <x:v>小红书</x:v>
      </x:c>
      <x:c r="G17" s="24" t="str">
        <x:v>无</x:v>
      </x:c>
      <x:c r="H17" s="24" t="str">
        <x:v>P3 简历自查</x:v>
      </x:c>
      <x:c r="I17" s="24" t="str">
        <x:v>B1</x:v>
      </x:c>
      <x:c r="J17" s="24" t="str">
        <x:v>PDF简历OCR后，最容易错的4类信息</x:v>
      </x:c>
      <x:c r="K17" s="24" t="str">
        <x:v>姓名、日期、数字、联系方式必须人工复核</x:v>
      </x:c>
      <x:c r="L17" s="24" t="str">
        <x:v>7页图文</x:v>
      </x:c>
      <x:c r="M17" s="24" t="str">
        <x:v>F-04/F-30</x:v>
      </x:c>
      <x:c r="N17" s="24" t="str">
        <x:v>上传后先对照原文件逐项检查</x:v>
      </x:c>
      <x:c r="O17" s="24" t="str">
        <x:v>虚构PDF；OCR错误示例</x:v>
      </x:c>
      <x:c r="P17" s="26" t="str">
        <x:v>内容</x:v>
      </x:c>
      <x:c r="Q17" s="26" t="str">
        <x:v>待策划</x:v>
      </x:c>
      <x:c r="R17" s="26" t="str">
        <x:v>20:30</x:v>
      </x:c>
      <x:c r="S17" s="24" t="str">
        <x:v>收藏率/有效评论</x:v>
      </x:c>
      <x:c r="T17" s="24" t="str">
        <x:v>说明OCR条件能力；不写支持Word</x:v>
      </x:c>
      <x:c r="U17" s="24" t="str">
        <x:v>S-15</x:v>
      </x:c>
    </x:row>
    <x:row r="18" ht="44" customHeight="1">
      <x:c r="A18" s="24" t="n">
        <x:v>13</x:v>
      </x:c>
      <x:c r="B18" s="25" t="n">
        <x:v>46263</x:v>
      </x:c>
      <x:c r="C18" s="24" t="str">
        <x:v>周六</x:v>
      </x:c>
      <x:c r="D18" s="24" t="str">
        <x:v>第2周</x:v>
      </x:c>
      <x:c r="E18" s="24" t="str">
        <x:v>发布</x:v>
      </x:c>
      <x:c r="F18" s="24" t="str">
        <x:v>小红书</x:v>
      </x:c>
      <x:c r="G18" s="24" t="str">
        <x:v>视频号</x:v>
      </x:c>
      <x:c r="H18" s="24" t="str">
        <x:v>P2 一岗一简历</x:v>
      </x:c>
      <x:c r="I18" s="24" t="str">
        <x:v>A2</x:v>
      </x:c>
      <x:c r="J18" s="24" t="str">
        <x:v>一个项目，两个岗位：重点顺序对比表</x:v>
      </x:c>
      <x:c r="K18" s="24" t="str">
        <x:v>增长岗先看实验，产品岗先看问题与决策</x:v>
      </x:c>
      <x:c r="L18" s="24" t="str">
        <x:v>8页图文</x:v>
      </x:c>
      <x:c r="M18" s="24" t="str">
        <x:v>F-01/F-12/F-14</x:v>
      </x:c>
      <x:c r="N18" s="24" t="str">
        <x:v>选择你的目标岗位后再排证据</x:v>
      </x:c>
      <x:c r="O18" s="24" t="str">
        <x:v>虚构项目；对比表；真实编辑局部</x:v>
      </x:c>
      <x:c r="P18" s="26" t="str">
        <x:v>内容</x:v>
      </x:c>
      <x:c r="Q18" s="26" t="str">
        <x:v>待策划</x:v>
      </x:c>
      <x:c r="R18" s="26" t="str">
        <x:v>11:30</x:v>
      </x:c>
      <x:c r="S18" s="24" t="str">
        <x:v>收藏率/主页访问率</x:v>
      </x:c>
      <x:c r="T18" s="24" t="str">
        <x:v>不宣称适用于所有岗位</x:v>
      </x:c>
      <x:c r="U18" s="24" t="str">
        <x:v>S-07</x:v>
      </x:c>
    </x:row>
    <x:row r="19" ht="44" customHeight="1">
      <x:c r="A19" s="24" t="n">
        <x:v>14</x:v>
      </x:c>
      <x:c r="B19" s="25" t="n">
        <x:v>46264</x:v>
      </x:c>
      <x:c r="C19" s="24" t="str">
        <x:v>周日</x:v>
      </x:c>
      <x:c r="D19" s="24" t="str">
        <x:v>第2周</x:v>
      </x:c>
      <x:c r="E19" s="24" t="str">
        <x:v>运营</x:v>
      </x:c>
      <x:c r="F19" s="24" t="str">
        <x:v>小红书</x:v>
      </x:c>
      <x:c r="G19" s="24" t="str">
        <x:v>无</x:v>
      </x:c>
      <x:c r="H19" s="24" t="str">
        <x:v>用户研究</x:v>
      </x:c>
      <x:c r="I19" s="24" t="str">
        <x:v>A1/A2/A3</x:v>
      </x:c>
      <x:c r="J19" s="24" t="str">
        <x:v>种子用户访谈与第2周复盘</x:v>
      </x:c>
      <x:c r="K19" s="24" t="str">
        <x:v>不发布：完成5次访谈并整理阻塞项</x:v>
      </x:c>
      <x:c r="L19" s="24" t="str">
        <x:v>用户研究</x:v>
      </x:c>
      <x:c r="M19" s="24" t="str">
        <x:v>无</x:v>
      </x:c>
      <x:c r="N19" s="24" t="str">
        <x:v>无</x:v>
      </x:c>
      <x:c r="O19" s="24" t="str">
        <x:v>访谈提纲；授权台账；产品问题单</x:v>
      </x:c>
      <x:c r="P19" s="26" t="str">
        <x:v>运营</x:v>
      </x:c>
      <x:c r="Q19" s="26" t="str">
        <x:v>待策划</x:v>
      </x:c>
      <x:c r="R19" s="26" t="str">
        <x:v>—</x:v>
      </x:c>
      <x:c r="S19" s="24" t="str">
        <x:v>访谈完成数</x:v>
      </x:c>
      <x:c r="T19" s="24" t="str">
        <x:v>体验与案例授权分开；最小化记录</x:v>
      </x:c>
      <x:c r="U19" s="24" t="str">
        <x:v>S-15</x:v>
      </x:c>
    </x:row>
    <x:row r="20" ht="44" customHeight="1">
      <x:c r="A20" s="24" t="n">
        <x:v>15</x:v>
      </x:c>
      <x:c r="B20" s="25" t="n">
        <x:v>46265</x:v>
      </x:c>
      <x:c r="C20" s="24" t="str">
        <x:v>周一</x:v>
      </x:c>
      <x:c r="D20" s="24" t="str">
        <x:v>第3周</x:v>
      </x:c>
      <x:c r="E20" s="24" t="str">
        <x:v>发布</x:v>
      </x:c>
      <x:c r="F20" s="24" t="str">
        <x:v>小红书</x:v>
      </x:c>
      <x:c r="G20" s="24" t="str">
        <x:v>Bilibili/知乎</x:v>
      </x:c>
      <x:c r="H20" s="24" t="str">
        <x:v>P5 产品透明</x:v>
      </x:c>
      <x:c r="I20" s="24" t="str">
        <x:v>全部</x:v>
      </x:c>
      <x:c r="J20" s="24" t="str">
        <x:v>匹配分不是录用概率：看懂产品内评分</x:v>
      </x:c>
      <x:c r="K20" s="24" t="str">
        <x:v>90分不等于90%会被录用</x:v>
      </x:c>
      <x:c r="L20" s="24" t="str">
        <x:v>30秒短视频</x:v>
      </x:c>
      <x:c r="M20" s="24" t="str">
        <x:v>F-08/F-10/N-08</x:v>
      </x:c>
      <x:c r="N20" s="24" t="str">
        <x:v>把分数当线索，不当招聘结论</x:v>
      </x:c>
      <x:c r="O20" s="24" t="str">
        <x:v>真实评分页；醒目解释字幕</x:v>
      </x:c>
      <x:c r="P20" s="26" t="str">
        <x:v>视频</x:v>
      </x:c>
      <x:c r="Q20" s="26" t="str">
        <x:v>待策划</x:v>
      </x:c>
      <x:c r="R20" s="26" t="str">
        <x:v>20:30</x:v>
      </x:c>
      <x:c r="S20" s="24" t="str">
        <x:v>完播率/信任型评论</x:v>
      </x:c>
      <x:c r="T20" s="24" t="str">
        <x:v>严禁录用率等同</x:v>
      </x:c>
      <x:c r="U20" s="24" t="str">
        <x:v>S-12/S-13</x:v>
      </x:c>
    </x:row>
    <x:row r="21" ht="44" customHeight="1">
      <x:c r="A21" s="24" t="n">
        <x:v>16</x:v>
      </x:c>
      <x:c r="B21" s="25" t="n">
        <x:v>46266</x:v>
      </x:c>
      <x:c r="C21" s="24" t="str">
        <x:v>周二</x:v>
      </x:c>
      <x:c r="D21" s="24" t="str">
        <x:v>第3周</x:v>
      </x:c>
      <x:c r="E21" s="24" t="str">
        <x:v>发布</x:v>
      </x:c>
      <x:c r="F21" s="24" t="str">
        <x:v>小红书</x:v>
      </x:c>
      <x:c r="G21" s="24" t="str">
        <x:v>微信公众号</x:v>
      </x:c>
      <x:c r="H21" s="24" t="str">
        <x:v>P3 简历自查</x:v>
      </x:c>
      <x:c r="I21" s="24" t="str">
        <x:v>全部</x:v>
      </x:c>
      <x:c r="J21" s="24" t="str">
        <x:v>AI简历防编造：提交前7项核验清单</x:v>
      </x:c>
      <x:c r="K21" s="24" t="str">
        <x:v>AI能帮你重组，但不能替你证明事实</x:v>
      </x:c>
      <x:c r="L21" s="24" t="str">
        <x:v>9页图文</x:v>
      </x:c>
      <x:c r="M21" s="24" t="str">
        <x:v>F-12/F-14/F-30/N-09</x:v>
      </x:c>
      <x:c r="N21" s="24" t="str">
        <x:v>保存并逐项打勾</x:v>
      </x:c>
      <x:c r="O21" s="24" t="str">
        <x:v>核验清单；虚构错误样例</x:v>
      </x:c>
      <x:c r="P21" s="26" t="str">
        <x:v>内容</x:v>
      </x:c>
      <x:c r="Q21" s="26" t="str">
        <x:v>待策划</x:v>
      </x:c>
      <x:c r="R21" s="26" t="str">
        <x:v>12:15</x:v>
      </x:c>
      <x:c r="S21" s="24" t="str">
        <x:v>收藏率/分享率</x:v>
      </x:c>
      <x:c r="T21" s="24" t="str">
        <x:v>AI标识；不写零幻觉</x:v>
      </x:c>
      <x:c r="U21" s="24" t="str">
        <x:v>S-14/S-16</x:v>
      </x:c>
    </x:row>
    <x:row r="22" ht="44" customHeight="1">
      <x:c r="A22" s="24" t="n">
        <x:v>17</x:v>
      </x:c>
      <x:c r="B22" s="25" t="n">
        <x:v>46267</x:v>
      </x:c>
      <x:c r="C22" s="24" t="str">
        <x:v>周三</x:v>
      </x:c>
      <x:c r="D22" s="24" t="str">
        <x:v>第3周</x:v>
      </x:c>
      <x:c r="E22" s="24" t="str">
        <x:v>发布</x:v>
      </x:c>
      <x:c r="F22" s="24" t="str">
        <x:v>小红书</x:v>
      </x:c>
      <x:c r="G22" s="24" t="str">
        <x:v>无</x:v>
      </x:c>
      <x:c r="H22" s="24" t="str">
        <x:v>P1 JD拆解</x:v>
      </x:c>
      <x:c r="I22" s="24" t="str">
        <x:v>A1/A2</x:v>
      </x:c>
      <x:c r="J22" s="24" t="str">
        <x:v>JD里的“必须/优先/加分”怎么影响简历顺序</x:v>
      </x:c>
      <x:c r="K22" s="24" t="str">
        <x:v>不是每个关键词都应该占同样篇幅</x:v>
      </x:c>
      <x:c r="L22" s="24" t="str">
        <x:v>8页图文</x:v>
      </x:c>
      <x:c r="M22" s="24" t="str">
        <x:v>F-09/F-10</x:v>
      </x:c>
      <x:c r="N22" s="24" t="str">
        <x:v>先圈硬性项，再排证据</x:v>
      </x:c>
      <x:c r="O22" s="24" t="str">
        <x:v>虚构JD；优先级标注</x:v>
      </x:c>
      <x:c r="P22" s="26" t="str">
        <x:v>内容</x:v>
      </x:c>
      <x:c r="Q22" s="26" t="str">
        <x:v>待策划</x:v>
      </x:c>
      <x:c r="R22" s="26" t="str">
        <x:v>20:30</x:v>
      </x:c>
      <x:c r="S22" s="24" t="str">
        <x:v>收藏率/搜索阅读</x:v>
      </x:c>
      <x:c r="T22" s="24" t="str">
        <x:v>不宣称识别绝对准确</x:v>
      </x:c>
      <x:c r="U22" s="24" t="str">
        <x:v>S-05/S-07</x:v>
      </x:c>
    </x:row>
    <x:row r="23" ht="44" customHeight="1">
      <x:c r="A23" s="24" t="n">
        <x:v>18</x:v>
      </x:c>
      <x:c r="B23" s="25" t="n">
        <x:v>46268</x:v>
      </x:c>
      <x:c r="C23" s="24" t="str">
        <x:v>周四</x:v>
      </x:c>
      <x:c r="D23" s="24" t="str">
        <x:v>第3周</x:v>
      </x:c>
      <x:c r="E23" s="24" t="str">
        <x:v>发布</x:v>
      </x:c>
      <x:c r="F23" s="24" t="str">
        <x:v>小红书</x:v>
      </x:c>
      <x:c r="G23" s="24" t="str">
        <x:v>抖音/视频号</x:v>
      </x:c>
      <x:c r="H23" s="24" t="str">
        <x:v>P5 产品透明</x:v>
      </x:c>
      <x:c r="I23" s="24" t="str">
        <x:v>全部</x:v>
      </x:c>
      <x:c r="J23" s="24" t="str">
        <x:v>真实演示：岗位定制简历如何下载为Markdown</x:v>
      </x:c>
      <x:c r="K23" s="24" t="str">
        <x:v>当前交付是什么，30秒讲清楚</x:v>
      </x:c>
      <x:c r="L23" s="24" t="str">
        <x:v>25秒短视频</x:v>
      </x:c>
      <x:c r="M23" s="24" t="str">
        <x:v>F-13/F-14/F-15</x:v>
      </x:c>
      <x:c r="N23" s="24" t="str">
        <x:v>下载后继续人工编辑</x:v>
      </x:c>
      <x:c r="O23" s="24" t="str">
        <x:v>真实下载录屏；文件名示例</x:v>
      </x:c>
      <x:c r="P23" s="26" t="str">
        <x:v>视频</x:v>
      </x:c>
      <x:c r="Q23" s="26" t="str">
        <x:v>待策划</x:v>
      </x:c>
      <x:c r="R23" s="26" t="str">
        <x:v>12:15</x:v>
      </x:c>
      <x:c r="S23" s="24" t="str">
        <x:v>完播率/下载率</x:v>
      </x:c>
      <x:c r="T23" s="24" t="str">
        <x:v>不写Word/PDF下载</x:v>
      </x:c>
      <x:c r="U23" s="24" t="str">
        <x:v>S-03</x:v>
      </x:c>
    </x:row>
    <x:row r="24" ht="44" customHeight="1">
      <x:c r="A24" s="24" t="n">
        <x:v>19</x:v>
      </x:c>
      <x:c r="B24" s="25" t="n">
        <x:v>46269</x:v>
      </x:c>
      <x:c r="C24" s="24" t="str">
        <x:v>周五</x:v>
      </x:c>
      <x:c r="D24" s="24" t="str">
        <x:v>第3周</x:v>
      </x:c>
      <x:c r="E24" s="24" t="str">
        <x:v>发布</x:v>
      </x:c>
      <x:c r="F24" s="24" t="str">
        <x:v>小红书</x:v>
      </x:c>
      <x:c r="G24" s="24" t="str">
        <x:v>无</x:v>
      </x:c>
      <x:c r="H24" s="24" t="str">
        <x:v>P5 产品透明</x:v>
      </x:c>
      <x:c r="I24" s="24" t="str">
        <x:v>全部</x:v>
      </x:c>
      <x:c r="J24" s="24" t="str">
        <x:v>为什么我们现在不写“支持Word简历”</x:v>
      </x:c>
      <x:c r="K24" s="24" t="str">
        <x:v>选择器能选，不等于解析已经支持</x:v>
      </x:c>
      <x:c r="L24" s="24" t="str">
        <x:v>6页图文</x:v>
      </x:c>
      <x:c r="M24" s="24" t="str">
        <x:v>N-02/N-03</x:v>
      </x:c>
      <x:c r="N24" s="24" t="str">
        <x:v>Word用户先转为PDF/文本并核对</x:v>
      </x:c>
      <x:c r="O24" s="24" t="str">
        <x:v>产品边界说明；格式表</x:v>
      </x:c>
      <x:c r="P24" s="26" t="str">
        <x:v>产品</x:v>
      </x:c>
      <x:c r="Q24" s="26" t="str">
        <x:v>待策划</x:v>
      </x:c>
      <x:c r="R24" s="26" t="str">
        <x:v>20:30</x:v>
      </x:c>
      <x:c r="S24" s="24" t="str">
        <x:v>信任型评论/线索质量</x:v>
      </x:c>
      <x:c r="T24" s="24" t="str">
        <x:v>明确当前限制；不攻击竞品</x:v>
      </x:c>
      <x:c r="U24" s="24" t="str">
        <x:v>S-12/S-13</x:v>
      </x:c>
    </x:row>
    <x:row r="25" ht="44" customHeight="1">
      <x:c r="A25" s="24" t="n">
        <x:v>20</x:v>
      </x:c>
      <x:c r="B25" s="25" t="n">
        <x:v>46270</x:v>
      </x:c>
      <x:c r="C25" s="24" t="str">
        <x:v>周六</x:v>
      </x:c>
      <x:c r="D25" s="24" t="str">
        <x:v>第3周</x:v>
      </x:c>
      <x:c r="E25" s="24" t="str">
        <x:v>发布</x:v>
      </x:c>
      <x:c r="F25" s="24" t="str">
        <x:v>小红书</x:v>
      </x:c>
      <x:c r="G25" s="24" t="str">
        <x:v>微信公众号</x:v>
      </x:c>
      <x:c r="H25" s="24" t="str">
        <x:v>P3 简历自查</x:v>
      </x:c>
      <x:c r="I25" s="24" t="str">
        <x:v>A2/A3</x:v>
      </x:c>
      <x:c r="J25" s="24" t="str">
        <x:v>简历里的数字，限定词比“量化”更重要</x:v>
      </x:c>
      <x:c r="K25" s="24" t="str">
        <x:v>别让AI把“约20%”写成“提升20%”</x:v>
      </x:c>
      <x:c r="L25" s="24" t="str">
        <x:v>8页图文</x:v>
      </x:c>
      <x:c r="M25" s="24" t="str">
        <x:v>F-12/F-30</x:v>
      </x:c>
      <x:c r="N25" s="24" t="str">
        <x:v>核对每个数字的范围、时间和归因</x:v>
      </x:c>
      <x:c r="O25" s="24" t="str">
        <x:v>虚构数字前后对比</x:v>
      </x:c>
      <x:c r="P25" s="26" t="str">
        <x:v>内容</x:v>
      </x:c>
      <x:c r="Q25" s="26" t="str">
        <x:v>待策划</x:v>
      </x:c>
      <x:c r="R25" s="26" t="str">
        <x:v>11:30</x:v>
      </x:c>
      <x:c r="S25" s="24" t="str">
        <x:v>收藏率/有效评论</x:v>
      </x:c>
      <x:c r="T25" s="24" t="str">
        <x:v>禁止杜撰量化成果</x:v>
      </x:c>
      <x:c r="U25" s="24" t="str">
        <x:v>S-12/S-16</x:v>
      </x:c>
    </x:row>
    <x:row r="26" ht="44" customHeight="1">
      <x:c r="A26" s="24" t="n">
        <x:v>21</x:v>
      </x:c>
      <x:c r="B26" s="25" t="n">
        <x:v>46271</x:v>
      </x:c>
      <x:c r="C26" s="24" t="str">
        <x:v>周日</x:v>
      </x:c>
      <x:c r="D26" s="24" t="str">
        <x:v>第3周</x:v>
      </x:c>
      <x:c r="E26" s="24" t="str">
        <x:v>运营</x:v>
      </x:c>
      <x:c r="F26" s="24" t="str">
        <x:v>小红书</x:v>
      </x:c>
      <x:c r="G26" s="24" t="str">
        <x:v>无</x:v>
      </x:c>
      <x:c r="H26" s="24" t="str">
        <x:v>合规复盘</x:v>
      </x:c>
      <x:c r="I26" s="24" t="str">
        <x:v>全部</x:v>
      </x:c>
      <x:c r="J26" s="24" t="str">
        <x:v>第3周隐私与AI标识检查</x:v>
      </x:c>
      <x:c r="K26" s="24" t="str">
        <x:v>不发布：抽查全部已发内容</x:v>
      </x:c>
      <x:c r="L26" s="24" t="str">
        <x:v>合规复盘</x:v>
      </x:c>
      <x:c r="M26" s="24" t="str">
        <x:v>无</x:v>
      </x:c>
      <x:c r="N26" s="24" t="str">
        <x:v>无</x:v>
      </x:c>
      <x:c r="O26" s="24" t="str">
        <x:v>发布链接；检查表；整改记录</x:v>
      </x:c>
      <x:c r="P26" s="26" t="str">
        <x:v>合规</x:v>
      </x:c>
      <x:c r="Q26" s="26" t="str">
        <x:v>待策划</x:v>
      </x:c>
      <x:c r="R26" s="26" t="str">
        <x:v>—</x:v>
      </x:c>
      <x:c r="S26" s="24" t="str">
        <x:v>合规检查完成率</x:v>
      </x:c>
      <x:c r="T26" s="24" t="str">
        <x:v>发现问题先下线/修正</x:v>
      </x:c>
      <x:c r="U26" s="24" t="str">
        <x:v>S-02/S-03/S-14/S-15</x:v>
      </x:c>
    </x:row>
    <x:row r="27" ht="44" customHeight="1">
      <x:c r="A27" s="24" t="n">
        <x:v>22</x:v>
      </x:c>
      <x:c r="B27" s="25" t="n">
        <x:v>46272</x:v>
      </x:c>
      <x:c r="C27" s="24" t="str">
        <x:v>周一</x:v>
      </x:c>
      <x:c r="D27" s="24" t="str">
        <x:v>第4周</x:v>
      </x:c>
      <x:c r="E27" s="24" t="str">
        <x:v>发布</x:v>
      </x:c>
      <x:c r="F27" s="24" t="str">
        <x:v>小红书</x:v>
      </x:c>
      <x:c r="G27" s="24" t="str">
        <x:v>Bilibili</x:v>
      </x:c>
      <x:c r="H27" s="24" t="str">
        <x:v>P4 面试准备</x:v>
      </x:c>
      <x:c r="I27" s="24" t="str">
        <x:v>A1/A2</x:v>
      </x:c>
      <x:c r="J27" s="24" t="str">
        <x:v>简历和JD如何变成面试准备清单</x:v>
      </x:c>
      <x:c r="K27" s="24" t="str">
        <x:v>先找最可能被追问的证据，再准备答案</x:v>
      </x:c>
      <x:c r="L27" s="24" t="str">
        <x:v>30秒短视频</x:v>
      </x:c>
      <x:c r="M27" s="24" t="str">
        <x:v>F-16/F-17/F-18</x:v>
      </x:c>
      <x:c r="N27" s="24" t="str">
        <x:v>按岗位准备，不背通用答案</x:v>
      </x:c>
      <x:c r="O27" s="24" t="str">
        <x:v>真实面试建议页；虚构内容</x:v>
      </x:c>
      <x:c r="P27" s="26" t="str">
        <x:v>视频</x:v>
      </x:c>
      <x:c r="Q27" s="26" t="str">
        <x:v>待策划</x:v>
      </x:c>
      <x:c r="R27" s="26" t="str">
        <x:v>20:30</x:v>
      </x:c>
      <x:c r="S27" s="24" t="str">
        <x:v>完播率/激活率</x:v>
      </x:c>
      <x:c r="T27" s="24" t="str">
        <x:v>问题为AI建议，不是真题保证</x:v>
      </x:c>
      <x:c r="U27" s="24" t="str">
        <x:v>S-05</x:v>
      </x:c>
    </x:row>
    <x:row r="28" ht="44" customHeight="1">
      <x:c r="A28" s="24" t="n">
        <x:v>23</x:v>
      </x:c>
      <x:c r="B28" s="25" t="n">
        <x:v>46273</x:v>
      </x:c>
      <x:c r="C28" s="24" t="str">
        <x:v>周二</x:v>
      </x:c>
      <x:c r="D28" s="24" t="str">
        <x:v>第4周</x:v>
      </x:c>
      <x:c r="E28" s="24" t="str">
        <x:v>发布</x:v>
      </x:c>
      <x:c r="F28" s="24" t="str">
        <x:v>小红书</x:v>
      </x:c>
      <x:c r="G28" s="24" t="str">
        <x:v>微信公众号</x:v>
      </x:c>
      <x:c r="H28" s="24" t="str">
        <x:v>P4 面试准备</x:v>
      </x:c>
      <x:c r="I28" s="24" t="str">
        <x:v>A1/A2</x:v>
      </x:c>
      <x:c r="J28" s="24" t="str">
        <x:v>STAR不是四个字母：用一段经历准备追问</x:v>
      </x:c>
      <x:c r="K28" s="24" t="str">
        <x:v>每个成果都要能回答“你做了什么”</x:v>
      </x:c>
      <x:c r="L28" s="24" t="str">
        <x:v>8页图文</x:v>
      </x:c>
      <x:c r="M28" s="24" t="str">
        <x:v>F-17</x:v>
      </x:c>
      <x:c r="N28" s="24" t="str">
        <x:v>用真实经历补齐行动和结果</x:v>
      </x:c>
      <x:c r="O28" s="24" t="str">
        <x:v>虚构STAR故事表</x:v>
      </x:c>
      <x:c r="P28" s="26" t="str">
        <x:v>内容</x:v>
      </x:c>
      <x:c r="Q28" s="26" t="str">
        <x:v>待策划</x:v>
      </x:c>
      <x:c r="R28" s="26" t="str">
        <x:v>12:15</x:v>
      </x:c>
      <x:c r="S28" s="24" t="str">
        <x:v>收藏率/有效评论</x:v>
      </x:c>
      <x:c r="T28" s="24" t="str">
        <x:v>不编造行为或成果</x:v>
      </x:c>
      <x:c r="U28" s="24" t="str">
        <x:v>S-12/S-16</x:v>
      </x:c>
    </x:row>
    <x:row r="29" ht="44" customHeight="1">
      <x:c r="A29" s="24" t="n">
        <x:v>24</x:v>
      </x:c>
      <x:c r="B29" s="25" t="n">
        <x:v>46274</x:v>
      </x:c>
      <x:c r="C29" s="24" t="str">
        <x:v>周三</x:v>
      </x:c>
      <x:c r="D29" s="24" t="str">
        <x:v>第4周</x:v>
      </x:c>
      <x:c r="E29" s="24" t="str">
        <x:v>发布</x:v>
      </x:c>
      <x:c r="F29" s="24" t="str">
        <x:v>小红书</x:v>
      </x:c>
      <x:c r="G29" s="24" t="str">
        <x:v>知乎</x:v>
      </x:c>
      <x:c r="H29" s="24" t="str">
        <x:v>P4 面试准备</x:v>
      </x:c>
      <x:c r="I29" s="24" t="str">
        <x:v>全部</x:v>
      </x:c>
      <x:c r="J29" s="24" t="str">
        <x:v>面试反问别背“公司文化如何”，先看JD缺口</x:v>
      </x:c>
      <x:c r="K29" s="24" t="str">
        <x:v>好反问来自你真正需要确认的信息</x:v>
      </x:c>
      <x:c r="L29" s="24" t="str">
        <x:v>7页图文</x:v>
      </x:c>
      <x:c r="M29" s="24" t="str">
        <x:v>F-18</x:v>
      </x:c>
      <x:c r="N29" s="24" t="str">
        <x:v>准备3个与岗位相关的反问</x:v>
      </x:c>
      <x:c r="O29" s="24" t="str">
        <x:v>虚构JD；反问清单</x:v>
      </x:c>
      <x:c r="P29" s="26" t="str">
        <x:v>内容</x:v>
      </x:c>
      <x:c r="Q29" s="26" t="str">
        <x:v>待策划</x:v>
      </x:c>
      <x:c r="R29" s="26" t="str">
        <x:v>20:30</x:v>
      </x:c>
      <x:c r="S29" s="24" t="str">
        <x:v>收藏率/搜索阅读</x:v>
      </x:c>
      <x:c r="T29" s="24" t="str">
        <x:v>不代表企业真实情况</x:v>
      </x:c>
      <x:c r="U29" s="24" t="str">
        <x:v>S-05/S-07</x:v>
      </x:c>
    </x:row>
    <x:row r="30" ht="44" customHeight="1">
      <x:c r="A30" s="24" t="n">
        <x:v>25</x:v>
      </x:c>
      <x:c r="B30" s="25" t="n">
        <x:v>46275</x:v>
      </x:c>
      <x:c r="C30" s="24" t="str">
        <x:v>周四</x:v>
      </x:c>
      <x:c r="D30" s="24" t="str">
        <x:v>第4周</x:v>
      </x:c>
      <x:c r="E30" s="24" t="str">
        <x:v>发布</x:v>
      </x:c>
      <x:c r="F30" s="24" t="str">
        <x:v>小红书</x:v>
      </x:c>
      <x:c r="G30" s="24" t="str">
        <x:v>抖音/视频号</x:v>
      </x:c>
      <x:c r="H30" s="24" t="str">
        <x:v>P2 一岗一简历</x:v>
      </x:c>
      <x:c r="I30" s="24" t="str">
        <x:v>B3</x:v>
      </x:c>
      <x:c r="J30" s="24" t="str">
        <x:v>10秒看懂岗位卡片墙：每次申请各存一份</x:v>
      </x:c>
      <x:c r="K30" s="24" t="str">
        <x:v>别再用“最终版3”管理简历</x:v>
      </x:c>
      <x:c r="L30" s="24" t="str">
        <x:v>20秒短视频</x:v>
      </x:c>
      <x:c r="M30" s="24" t="str">
        <x:v>F-19/F-20/F-29</x:v>
      </x:c>
      <x:c r="N30" s="24" t="str">
        <x:v>为下一个JD创建独立版本</x:v>
      </x:c>
      <x:c r="O30" s="24" t="str">
        <x:v>真实首页卡片与完成页录屏</x:v>
      </x:c>
      <x:c r="P30" s="26" t="str">
        <x:v>视频</x:v>
      </x:c>
      <x:c r="Q30" s="26" t="str">
        <x:v>待策划</x:v>
      </x:c>
      <x:c r="R30" s="26" t="str">
        <x:v>12:15</x:v>
      </x:c>
      <x:c r="S30" s="24" t="str">
        <x:v>完播率/D7第二岗位</x:v>
      </x:c>
      <x:c r="T30" s="24" t="str">
        <x:v>完成动效不暗示求职成功</x:v>
      </x:c>
      <x:c r="U30" s="24" t="str">
        <x:v>S-03</x:v>
      </x:c>
    </x:row>
    <x:row r="31" ht="44" customHeight="1">
      <x:c r="A31" s="24" t="n">
        <x:v>26</x:v>
      </x:c>
      <x:c r="B31" s="25" t="n">
        <x:v>46276</x:v>
      </x:c>
      <x:c r="C31" s="24" t="str">
        <x:v>周五</x:v>
      </x:c>
      <x:c r="D31" s="24" t="str">
        <x:v>第4周</x:v>
      </x:c>
      <x:c r="E31" s="24" t="str">
        <x:v>发布</x:v>
      </x:c>
      <x:c r="F31" s="24" t="str">
        <x:v>小红书</x:v>
      </x:c>
      <x:c r="G31" s="24" t="str">
        <x:v>微信公众号</x:v>
      </x:c>
      <x:c r="H31" s="24" t="str">
        <x:v>P3 简历自查</x:v>
      </x:c>
      <x:c r="I31" s="24" t="str">
        <x:v>B3</x:v>
      </x:c>
      <x:c r="J31" s="24" t="str">
        <x:v>秋招同时投10个岗位，版本管理用这4个字段</x:v>
      </x:c>
      <x:c r="K31" s="24" t="str">
        <x:v>公司、岗位、日期、证据策略，比“最终版”更有用</x:v>
      </x:c>
      <x:c r="L31" s="24" t="str">
        <x:v>8页图文</x:v>
      </x:c>
      <x:c r="M31" s="24" t="str">
        <x:v>F-19/F-21</x:v>
      </x:c>
      <x:c r="N31" s="24" t="str">
        <x:v>建立你的岗位版本表</x:v>
      </x:c>
      <x:c r="O31" s="24" t="str">
        <x:v>虚构版本表；卡片局部</x:v>
      </x:c>
      <x:c r="P31" s="26" t="str">
        <x:v>内容</x:v>
      </x:c>
      <x:c r="Q31" s="26" t="str">
        <x:v>待策划</x:v>
      </x:c>
      <x:c r="R31" s="26" t="str">
        <x:v>20:30</x:v>
      </x:c>
      <x:c r="S31" s="24" t="str">
        <x:v>收藏率/D7第二岗位</x:v>
      </x:c>
      <x:c r="T31" s="24" t="str">
        <x:v>不写自动投递或申请跟踪</x:v>
      </x:c>
      <x:c r="U31" s="24" t="str">
        <x:v>S-05</x:v>
      </x:c>
    </x:row>
    <x:row r="32" ht="44" customHeight="1">
      <x:c r="A32" s="24" t="n">
        <x:v>27</x:v>
      </x:c>
      <x:c r="B32" s="25" t="n">
        <x:v>46277</x:v>
      </x:c>
      <x:c r="C32" s="24" t="str">
        <x:v>周六</x:v>
      </x:c>
      <x:c r="D32" s="24" t="str">
        <x:v>第4周</x:v>
      </x:c>
      <x:c r="E32" s="24" t="str">
        <x:v>发布</x:v>
      </x:c>
      <x:c r="F32" s="24" t="str">
        <x:v>小红书</x:v>
      </x:c>
      <x:c r="G32" s="24" t="str">
        <x:v>无</x:v>
      </x:c>
      <x:c r="H32" s="24" t="str">
        <x:v>P6 用户共创</x:v>
      </x:c>
      <x:c r="I32" s="24" t="str">
        <x:v>种子用户</x:v>
      </x:c>
      <x:c r="J32" s="24" t="str">
        <x:v>一位内测用户把AI初稿改了哪3处</x:v>
      </x:c>
      <x:c r="K32" s="24" t="str">
        <x:v>好案例不是“AI全对”，而是用户知道为什么改</x:v>
      </x:c>
      <x:c r="L32" s="24" t="str">
        <x:v>9页图文</x:v>
      </x:c>
      <x:c r="M32" s="24" t="str">
        <x:v>F-14/F-30</x:v>
      </x:c>
      <x:c r="N32" s="24" t="str">
        <x:v>先核对再提交</x:v>
      </x:c>
      <x:c r="O32" s="24" t="str">
        <x:v>授权案例；原稿/脱敏稿；授权编号</x:v>
      </x:c>
      <x:c r="P32" s="26" t="str">
        <x:v>运营</x:v>
      </x:c>
      <x:c r="Q32" s="26" t="str">
        <x:v>阻塞</x:v>
      </x:c>
      <x:c r="R32" s="26" t="str">
        <x:v>11:30</x:v>
      </x:c>
      <x:c r="S32" s="24" t="str">
        <x:v>收藏率/UGC授权</x:v>
      </x:c>
      <x:c r="T32" s="24" t="str">
        <x:v>无授权时改用虚构样例，不伪造用户</x:v>
      </x:c>
      <x:c r="U32" s="24" t="str">
        <x:v>S-12/S-15</x:v>
      </x:c>
    </x:row>
    <x:row r="33" ht="44" customHeight="1">
      <x:c r="A33" s="24" t="n">
        <x:v>28</x:v>
      </x:c>
      <x:c r="B33" s="25" t="n">
        <x:v>46278</x:v>
      </x:c>
      <x:c r="C33" s="24" t="str">
        <x:v>周日</x:v>
      </x:c>
      <x:c r="D33" s="24" t="str">
        <x:v>第4周</x:v>
      </x:c>
      <x:c r="E33" s="24" t="str">
        <x:v>运营</x:v>
      </x:c>
      <x:c r="F33" s="24" t="str">
        <x:v>小红书</x:v>
      </x:c>
      <x:c r="G33" s="24" t="str">
        <x:v>无</x:v>
      </x:c>
      <x:c r="H33" s="24" t="str">
        <x:v>复盘</x:v>
      </x:c>
      <x:c r="I33" s="24" t="str">
        <x:v>全部</x:v>
      </x:c>
      <x:c r="J33" s="24" t="str">
        <x:v>第4周内容与留存复盘</x:v>
      </x:c>
      <x:c r="K33" s="24" t="str">
        <x:v>不发布：检查第二岗位创建与用户反馈</x:v>
      </x:c>
      <x:c r="L33" s="24" t="str">
        <x:v>数据复盘</x:v>
      </x:c>
      <x:c r="M33" s="24" t="str">
        <x:v>无</x:v>
      </x:c>
      <x:c r="N33" s="24" t="str">
        <x:v>无</x:v>
      </x:c>
      <x:c r="O33" s="24" t="str">
        <x:v>数据看板；用户反馈；产品问题</x:v>
      </x:c>
      <x:c r="P33" s="26" t="str">
        <x:v>运营</x:v>
      </x:c>
      <x:c r="Q33" s="26" t="str">
        <x:v>待策划</x:v>
      </x:c>
      <x:c r="R33" s="26" t="str">
        <x:v>—</x:v>
      </x:c>
      <x:c r="S33" s="24" t="str">
        <x:v>D7留存/复盘完成率</x:v>
      </x:c>
      <x:c r="T33" s="24" t="str">
        <x:v>数据不足时明确不完整</x:v>
      </x:c>
      <x:c r="U33" s="24" t="str">
        <x:v>S-15</x:v>
      </x:c>
    </x:row>
    <x:row r="34" ht="44" customHeight="1">
      <x:c r="A34" s="24" t="n">
        <x:v>29</x:v>
      </x:c>
      <x:c r="B34" s="25" t="n">
        <x:v>46279</x:v>
      </x:c>
      <x:c r="C34" s="24" t="str">
        <x:v>周一</x:v>
      </x:c>
      <x:c r="D34" s="24" t="str">
        <x:v>第5周</x:v>
      </x:c>
      <x:c r="E34" s="24" t="str">
        <x:v>运营</x:v>
      </x:c>
      <x:c r="F34" s="24" t="str">
        <x:v>全平台</x:v>
      </x:c>
      <x:c r="G34" s="24" t="str">
        <x:v>无</x:v>
      </x:c>
      <x:c r="H34" s="24" t="str">
        <x:v>月度复盘</x:v>
      </x:c>
      <x:c r="I34" s="24" t="str">
        <x:v>全部</x:v>
      </x:c>
      <x:c r="J34" s="24" t="str">
        <x:v>30天月度策略复盘</x:v>
      </x:c>
      <x:c r="K34" s="24" t="str">
        <x:v>不发布：决定保留、停止与扩大项</x:v>
      </x:c>
      <x:c r="L34" s="24" t="str">
        <x:v>月度复盘</x:v>
      </x:c>
      <x:c r="M34" s="24" t="str">
        <x:v>无</x:v>
      </x:c>
      <x:c r="N34" s="24" t="str">
        <x:v>无</x:v>
      </x:c>
      <x:c r="O34" s="24" t="str">
        <x:v>渠道漏斗；A/B测试；预算；合规事件</x:v>
      </x:c>
      <x:c r="P34" s="26" t="str">
        <x:v>运营</x:v>
      </x:c>
      <x:c r="Q34" s="26" t="str">
        <x:v>待策划</x:v>
      </x:c>
      <x:c r="R34" s="26" t="str">
        <x:v>—</x:v>
      </x:c>
      <x:c r="S34" s="24" t="str">
        <x:v>复盘结论完成率</x:v>
      </x:c>
      <x:c r="T34" s="24" t="str">
        <x:v>不对外发布未经核实的效果数字</x:v>
      </x:c>
      <x:c r="U34" s="24" t="str">
        <x:v>S-12/S-13</x:v>
      </x:c>
    </x:row>
    <x:row r="35" ht="44" customHeight="1">
      <x:c r="A35" s="24" t="n">
        <x:v>30</x:v>
      </x:c>
      <x:c r="B35" s="25" t="n">
        <x:v>46280</x:v>
      </x:c>
      <x:c r="C35" s="24" t="str">
        <x:v>周二</x:v>
      </x:c>
      <x:c r="D35" s="24" t="str">
        <x:v>第5周</x:v>
      </x:c>
      <x:c r="E35" s="24" t="str">
        <x:v>运营</x:v>
      </x:c>
      <x:c r="F35" s="24" t="str">
        <x:v>全平台</x:v>
      </x:c>
      <x:c r="G35" s="24" t="str">
        <x:v>无</x:v>
      </x:c>
      <x:c r="H35" s="24" t="str">
        <x:v>评审</x:v>
      </x:c>
      <x:c r="I35" s="24" t="str">
        <x:v>全部</x:v>
      </x:c>
      <x:c r="J35" s="24" t="str">
        <x:v>提交负责人审核并暂停下一阶段</x:v>
      </x:c>
      <x:c r="K35" s="24" t="str">
        <x:v>不发布：等待定位、排期与合规边界确认</x:v>
      </x:c>
      <x:c r="L35" s="24" t="str">
        <x:v>评审</x:v>
      </x:c>
      <x:c r="M35" s="24" t="str">
        <x:v>无</x:v>
      </x:c>
      <x:c r="N35" s="24" t="str">
        <x:v>无</x:v>
      </x:c>
      <x:c r="O35" s="24" t="str">
        <x:v>五份交付文件；待确认事项</x:v>
      </x:c>
      <x:c r="P35" s="26" t="str">
        <x:v>运营</x:v>
      </x:c>
      <x:c r="Q35" s="26" t="str">
        <x:v>待策划</x:v>
      </x:c>
      <x:c r="R35" s="26" t="str">
        <x:v>—</x:v>
      </x:c>
      <x:c r="S35" s="24" t="str">
        <x:v>评审完成</x:v>
      </x:c>
      <x:c r="T35" s="24" t="str">
        <x:v>未审核不进入视觉物料制作</x:v>
      </x:c>
      <x:c r="U35" s="24" t="str">
        <x:v>S-01—S-16</x:v>
      </x:c>
    </x:row>
  </x:sheetData>
  <x:mergeCells>
    <x:mergeCell ref="A1:U1"/>
    <x:mergeCell ref="A2:U2"/>
  </x:mergeCells>
  <x:conditionalFormatting sqref="Q6:Q35">
    <x:cfRule type="containsText" dxfId="0" priority="1" operator="containsText" text="阻塞"/>
  </x:conditionalFormatting>
  <x:conditionalFormatting sqref="E6:E35">
    <x:cfRule type="containsText" dxfId="1" priority="2" operator="containsText" text="运营"/>
  </x:conditionalFormatting>
  <x:dataValidations count="2">
    <x:dataValidation type="list" sqref="Q6:Q35">
      <x:formula1>"待策划,制作中,待审核,已排期,已发布,复盘完成,阻塞"</x:formula1>
    </x:dataValidation>
    <x:dataValidation type="list" sqref="P6:P35">
      <x:formula1>"运营,内容,视频,设计,产品,合规"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e4d284ee14f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24" hidden="0" customWidth="1"/>
    <x:col min="8" max="8" width="38" hidden="0" customWidth="1"/>
  </x:cols>
  <x:sheetData>
    <x:row r="1" ht="34" customHeight="1">
      <x:c r="A1" s="3" t="str">
        <x:v>周节奏与内容结构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发布数量由“30天排期”自动汇总；目标为首月运营计划，不是历史数据。</x:v>
      </x:c>
      <x:c r="B2" s="7"/>
      <x:c r="C2" s="7"/>
      <x:c r="D2" s="7"/>
      <x:c r="E2" s="7"/>
      <x:c r="F2" s="7"/>
      <x:c r="G2" s="7"/>
      <x:c r="H2" s="7"/>
    </x:row>
    <x:row r="5" ht="30" customHeight="1">
      <x:c r="A5" s="20" t="str">
        <x:v>周次</x:v>
      </x:c>
      <x:c r="B5" s="20" t="str">
        <x:v>发布任务</x:v>
      </x:c>
      <x:c r="C5" s="20" t="str">
        <x:v>运营任务</x:v>
      </x:c>
      <x:c r="D5" s="20" t="str">
        <x:v>短视频</x:v>
      </x:c>
      <x:c r="E5" s="20" t="str">
        <x:v>图文</x:v>
      </x:c>
      <x:c r="F5" s="20" t="str">
        <x:v>P1/P2核心内容</x:v>
      </x:c>
      <x:c r="G5" s="20" t="str">
        <x:v>重点目标</x:v>
      </x:c>
      <x:c r="H5" s="20" t="str">
        <x:v>复盘问题</x:v>
      </x:c>
    </x:row>
    <x:row r="6" ht="44" customHeight="1">
      <x:c r="A6" s="24" t="str">
        <x:v>第1周</x:v>
      </x:c>
      <x:c r="B6" s="24" t="n">
        <x:f>COUNTIFS('30天排期'!$D$6:$D$35,A6,'30天排期'!$E$6:$E$35,"发布")</x:f>
        <x:v>6</x:v>
      </x:c>
      <x:c r="C6" s="24" t="n">
        <x:f>COUNTIFS('30天排期'!$D$6:$D$35,A6,'30天排期'!$E$6:$E$35,"运营")</x:f>
        <x:v>1</x:v>
      </x:c>
      <x:c r="D6" s="24" t="n">
        <x:f>COUNTIFS('30天排期'!$D$6:$D$35,A6,'30天排期'!$L$6:$L$35,"30秒短视频")+COUNTIFS('30天排期'!$D$6:$D$35,A6,'30天排期'!$L$6:$L$35,"25秒短视频")+COUNTIFS('30天排期'!$D$6:$D$35,A6,'30天排期'!$L$6:$L$35,"20秒短视频")</x:f>
        <x:v>2</x:v>
      </x:c>
      <x:c r="E6" s="24" t="n">
        <x:f>COUNTIFS('30天排期'!$D$6:$D$35,A6,'30天排期'!$L$6:$L$35,"6页图文")+COUNTIFS('30天排期'!$D$6:$D$35,A6,'30天排期'!$L$6:$L$35,"7页图文")+COUNTIFS('30天排期'!$D$6:$D$35,A6,'30天排期'!$L$6:$L$35,"8页图文")+COUNTIFS('30天排期'!$D$6:$D$35,A6,'30天排期'!$L$6:$L$35,"9页图文")</x:f>
        <x:v>4</x:v>
      </x:c>
      <x:c r="F6" s="24" t="n">
        <x:f>COUNTIFS('30天排期'!$D$6:$D$35,A6,'30天排期'!$H$6:$H$35,"P1 JD拆解")+COUNTIFS('30天排期'!$D$6:$D$35,A6,'30天排期'!$H$6:$H$35,"P2 一岗一简历")</x:f>
        <x:v>3</x:v>
      </x:c>
      <x:c r="G6" s="24" t="str">
        <x:v>建立认知</x:v>
      </x:c>
      <x:c r="H6" s="24" t="str">
        <x:v>哪种内容带来收藏/主页访问？</x:v>
      </x:c>
    </x:row>
    <x:row r="7" ht="44" customHeight="1">
      <x:c r="A7" s="24" t="str">
        <x:v>第2周</x:v>
      </x:c>
      <x:c r="B7" s="24" t="n">
        <x:f>COUNTIFS('30天排期'!$D$6:$D$35,A7,'30天排期'!$E$6:$E$35,"发布")</x:f>
        <x:v>6</x:v>
      </x:c>
      <x:c r="C7" s="24" t="n">
        <x:f>COUNTIFS('30天排期'!$D$6:$D$35,A7,'30天排期'!$E$6:$E$35,"运营")</x:f>
        <x:v>1</x:v>
      </x:c>
      <x:c r="D7" s="24" t="n">
        <x:f>COUNTIFS('30天排期'!$D$6:$D$35,A7,'30天排期'!$L$6:$L$35,"30秒短视频")+COUNTIFS('30天排期'!$D$6:$D$35,A7,'30天排期'!$L$6:$L$35,"25秒短视频")+COUNTIFS('30天排期'!$D$6:$D$35,A7,'30天排期'!$L$6:$L$35,"20秒短视频")</x:f>
        <x:v>2</x:v>
      </x:c>
      <x:c r="E7" s="24" t="n">
        <x:f>COUNTIFS('30天排期'!$D$6:$D$35,A7,'30天排期'!$L$6:$L$35,"6页图文")+COUNTIFS('30天排期'!$D$6:$D$35,A7,'30天排期'!$L$6:$L$35,"7页图文")+COUNTIFS('30天排期'!$D$6:$D$35,A7,'30天排期'!$L$6:$L$35,"8页图文")+COUNTIFS('30天排期'!$D$6:$D$35,A7,'30天排期'!$L$6:$L$35,"9页图文")</x:f>
        <x:v>4</x:v>
      </x:c>
      <x:c r="F7" s="24" t="n">
        <x:f>COUNTIFS('30天排期'!$D$6:$D$35,A7,'30天排期'!$H$6:$H$35,"P1 JD拆解")+COUNTIFS('30天排期'!$D$6:$D$35,A7,'30天排期'!$H$6:$H$35,"P2 一岗一简历")</x:f>
        <x:v>5</x:v>
      </x:c>
      <x:c r="G7" s="24" t="str">
        <x:v>验证人群与证据重组</x:v>
      </x:c>
      <x:c r="H7" s="24" t="str">
        <x:v>哪类用户带来有效激活？</x:v>
      </x:c>
    </x:row>
    <x:row r="8" ht="44" customHeight="1">
      <x:c r="A8" s="24" t="str">
        <x:v>第3周</x:v>
      </x:c>
      <x:c r="B8" s="24" t="n">
        <x:f>COUNTIFS('30天排期'!$D$6:$D$35,A8,'30天排期'!$E$6:$E$35,"发布")</x:f>
        <x:v>6</x:v>
      </x:c>
      <x:c r="C8" s="24" t="n">
        <x:f>COUNTIFS('30天排期'!$D$6:$D$35,A8,'30天排期'!$E$6:$E$35,"运营")</x:f>
        <x:v>1</x:v>
      </x:c>
      <x:c r="D8" s="24" t="n">
        <x:f>COUNTIFS('30天排期'!$D$6:$D$35,A8,'30天排期'!$L$6:$L$35,"30秒短视频")+COUNTIFS('30天排期'!$D$6:$D$35,A8,'30天排期'!$L$6:$L$35,"25秒短视频")+COUNTIFS('30天排期'!$D$6:$D$35,A8,'30天排期'!$L$6:$L$35,"20秒短视频")</x:f>
        <x:v>2</x:v>
      </x:c>
      <x:c r="E8" s="24" t="n">
        <x:f>COUNTIFS('30天排期'!$D$6:$D$35,A8,'30天排期'!$L$6:$L$35,"6页图文")+COUNTIFS('30天排期'!$D$6:$D$35,A8,'30天排期'!$L$6:$L$35,"7页图文")+COUNTIFS('30天排期'!$D$6:$D$35,A8,'30天排期'!$L$6:$L$35,"8页图文")+COUNTIFS('30天排期'!$D$6:$D$35,A8,'30天排期'!$L$6:$L$35,"9页图文")</x:f>
        <x:v>4</x:v>
      </x:c>
      <x:c r="F8" s="24" t="n">
        <x:f>COUNTIFS('30天排期'!$D$6:$D$35,A8,'30天排期'!$H$6:$H$35,"P1 JD拆解")+COUNTIFS('30天排期'!$D$6:$D$35,A8,'30天排期'!$H$6:$H$35,"P2 一岗一简历")</x:f>
        <x:v>1</x:v>
      </x:c>
      <x:c r="G8" s="24" t="str">
        <x:v>建立AI与隐私信任</x:v>
      </x:c>
      <x:c r="H8" s="24" t="str">
        <x:v>透明内容是否提升信任？</x:v>
      </x:c>
    </x:row>
    <x:row r="9" ht="44" customHeight="1">
      <x:c r="A9" s="24" t="str">
        <x:v>第4周</x:v>
      </x:c>
      <x:c r="B9" s="24" t="n">
        <x:f>COUNTIFS('30天排期'!$D$6:$D$35,A9,'30天排期'!$E$6:$E$35,"发布")</x:f>
        <x:v>6</x:v>
      </x:c>
      <x:c r="C9" s="24" t="n">
        <x:f>COUNTIFS('30天排期'!$D$6:$D$35,A9,'30天排期'!$E$6:$E$35,"运营")</x:f>
        <x:v>1</x:v>
      </x:c>
      <x:c r="D9" s="24" t="n">
        <x:f>COUNTIFS('30天排期'!$D$6:$D$35,A9,'30天排期'!$L$6:$L$35,"30秒短视频")+COUNTIFS('30天排期'!$D$6:$D$35,A9,'30天排期'!$L$6:$L$35,"25秒短视频")+COUNTIFS('30天排期'!$D$6:$D$35,A9,'30天排期'!$L$6:$L$35,"20秒短视频")</x:f>
        <x:v>2</x:v>
      </x:c>
      <x:c r="E9" s="24" t="n">
        <x:f>COUNTIFS('30天排期'!$D$6:$D$35,A9,'30天排期'!$L$6:$L$35,"6页图文")+COUNTIFS('30天排期'!$D$6:$D$35,A9,'30天排期'!$L$6:$L$35,"7页图文")+COUNTIFS('30天排期'!$D$6:$D$35,A9,'30天排期'!$L$6:$L$35,"8页图文")+COUNTIFS('30天排期'!$D$6:$D$35,A9,'30天排期'!$L$6:$L$35,"9页图文")</x:f>
        <x:v>4</x:v>
      </x:c>
      <x:c r="F9" s="24" t="n">
        <x:f>COUNTIFS('30天排期'!$D$6:$D$35,A9,'30天排期'!$H$6:$H$35,"P1 JD拆解")+COUNTIFS('30天排期'!$D$6:$D$35,A9,'30天排期'!$H$6:$H$35,"P2 一岗一简历")</x:f>
        <x:v>1</x:v>
      </x:c>
      <x:c r="G9" s="24" t="str">
        <x:v>验证面试与复用</x:v>
      </x:c>
      <x:c r="H9" s="24" t="str">
        <x:v>是否出现第二岗位与UGC意愿？</x:v>
      </x:c>
    </x:row>
    <x:row r="10" ht="44" customHeight="1">
      <x:c r="A10" s="24" t="str">
        <x:v>第5周</x:v>
      </x:c>
      <x:c r="B10" s="24" t="n">
        <x:f>COUNTIFS('30天排期'!$D$6:$D$35,A10,'30天排期'!$E$6:$E$35,"发布")</x:f>
        <x:v>0</x:v>
      </x:c>
      <x:c r="C10" s="24" t="n">
        <x:f>COUNTIFS('30天排期'!$D$6:$D$35,A10,'30天排期'!$E$6:$E$35,"运营")</x:f>
        <x:v>2</x:v>
      </x:c>
      <x:c r="D10" s="24" t="n">
        <x:f>COUNTIFS('30天排期'!$D$6:$D$35,A10,'30天排期'!$L$6:$L$35,"30秒短视频")+COUNTIFS('30天排期'!$D$6:$D$35,A10,'30天排期'!$L$6:$L$35,"25秒短视频")+COUNTIFS('30天排期'!$D$6:$D$35,A10,'30天排期'!$L$6:$L$35,"20秒短视频")</x:f>
        <x:v>0</x:v>
      </x:c>
      <x:c r="E10" s="24" t="n">
        <x:f>COUNTIFS('30天排期'!$D$6:$D$35,A10,'30天排期'!$L$6:$L$35,"6页图文")+COUNTIFS('30天排期'!$D$6:$D$35,A10,'30天排期'!$L$6:$L$35,"7页图文")+COUNTIFS('30天排期'!$D$6:$D$35,A10,'30天排期'!$L$6:$L$35,"8页图文")+COUNTIFS('30天排期'!$D$6:$D$35,A10,'30天排期'!$L$6:$L$35,"9页图文")</x:f>
        <x:v>0</x:v>
      </x:c>
      <x:c r="F10" s="24" t="n">
        <x:f>COUNTIFS('30天排期'!$D$6:$D$35,A10,'30天排期'!$H$6:$H$35,"P1 JD拆解")+COUNTIFS('30天排期'!$D$6:$D$35,A10,'30天排期'!$H$6:$H$35,"P2 一岗一简历")</x:f>
        <x:v>0</x:v>
      </x:c>
      <x:c r="G10" s="24" t="str">
        <x:v>月度评审</x:v>
      </x:c>
      <x:c r="H10" s="24" t="str">
        <x:v>下一阶段保留/停止/扩大什么？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9e21ec11674b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8" hidden="0" customWidth="1"/>
    <x:col min="4" max="4" width="12" hidden="0" customWidth="1"/>
    <x:col min="5" max="5" width="16" hidden="0" customWidth="1"/>
    <x:col min="6" max="6" width="22" hidden="0" customWidth="1"/>
  </x:cols>
  <x:sheetData>
    <x:row r="1" ht="34" customHeight="1">
      <x:c r="A1" s="3" t="str">
        <x:v>发布前检查清单</x:v>
      </x:c>
      <x:c r="B1" s="3"/>
      <x:c r="C1" s="3"/>
      <x:c r="D1" s="3"/>
      <x:c r="E1" s="3"/>
      <x:c r="F1" s="3"/>
    </x:row>
    <x:row r="2" ht="34" customHeight="1">
      <x:c r="A2" s="7" t="str">
        <x:v>每条内容发布前逐项确认；任一高风险项为“否”则暂停发布。</x:v>
      </x:c>
      <x:c r="B2" s="7"/>
      <x:c r="C2" s="7"/>
      <x:c r="D2" s="7"/>
      <x:c r="E2" s="7"/>
      <x:c r="F2" s="7"/>
    </x:row>
    <x:row r="5" ht="30" customHeight="1">
      <x:c r="A5" s="20" t="str">
        <x:v>类别</x:v>
      </x:c>
      <x:c r="B5" s="20" t="str">
        <x:v>检查项</x:v>
      </x:c>
      <x:c r="C5" s="20" t="str">
        <x:v>适用条件</x:v>
      </x:c>
      <x:c r="D5" s="20" t="str">
        <x:v>默认要求</x:v>
      </x:c>
      <x:c r="E5" s="20" t="str">
        <x:v>责任人</x:v>
      </x:c>
      <x:c r="F5" s="20" t="str">
        <x:v>记录</x:v>
      </x:c>
    </x:row>
    <x:row r="6" ht="44" customHeight="1">
      <x:c r="A6" s="24" t="str">
        <x:v>产品事实</x:v>
      </x:c>
      <x:c r="B6" s="24" t="str">
        <x:v>卖点能在证据表找到功能ID和状态</x:v>
      </x:c>
      <x:c r="C6" s="24" t="str">
        <x:v>每条</x:v>
      </x:c>
      <x:c r="D6" s="24" t="str">
        <x:v>是</x:v>
      </x:c>
      <x:c r="E6" s="24" t="str">
        <x:v>产品营销</x:v>
      </x:c>
      <x:c r="F6" s="26" t="str"/>
    </x:row>
    <x:row r="7" ht="44" customHeight="1">
      <x:c r="A7" s="24" t="str">
        <x:v>产品事实</x:v>
      </x:c>
      <x:c r="B7" s="24" t="str">
        <x:v>没有分享、Word/PDF精排、自动投递等未上线能力</x:v>
      </x:c>
      <x:c r="C7" s="24" t="str">
        <x:v>每条</x:v>
      </x:c>
      <x:c r="D7" s="24" t="str">
        <x:v>是</x:v>
      </x:c>
      <x:c r="E7" s="24" t="str">
        <x:v>产品</x:v>
      </x:c>
      <x:c r="F7" s="26" t="str"/>
    </x:row>
    <x:row r="8" ht="44" customHeight="1">
      <x:c r="A8" s="24" t="str">
        <x:v>结果承诺</x:v>
      </x:c>
      <x:c r="B8" s="24" t="str">
        <x:v>没有ATS、面试、录用、薪资保证或绝对化表述</x:v>
      </x:c>
      <x:c r="C8" s="24" t="str">
        <x:v>每条</x:v>
      </x:c>
      <x:c r="D8" s="24" t="str">
        <x:v>是</x:v>
      </x:c>
      <x:c r="E8" s="24" t="str">
        <x:v>合规</x:v>
      </x:c>
      <x:c r="F8" s="26" t="str"/>
    </x:row>
    <x:row r="9" ht="44" customHeight="1">
      <x:c r="A9" s="24" t="str">
        <x:v>用户隐私</x:v>
      </x:c>
      <x:c r="B9" s="24" t="str">
        <x:v>真实简历/JD有授权并完成双人脱敏</x:v>
      </x:c>
      <x:c r="C9" s="24" t="str">
        <x:v>使用真实案例时</x:v>
      </x:c>
      <x:c r="D9" s="24" t="str">
        <x:v>是</x:v>
      </x:c>
      <x:c r="E9" s="24" t="str">
        <x:v>运营+合规</x:v>
      </x:c>
      <x:c r="F9" s="26" t="str"/>
    </x:row>
    <x:row r="10" ht="44" customHeight="1">
      <x:c r="A10" s="24" t="str">
        <x:v>真实界面</x:v>
      </x:c>
      <x:c r="B10" s="24" t="str">
        <x:v>App画面来自实际运行截图/录屏</x:v>
      </x:c>
      <x:c r="C10" s="24" t="str">
        <x:v>出现UI时</x:v>
      </x:c>
      <x:c r="D10" s="24" t="str">
        <x:v>是</x:v>
      </x:c>
      <x:c r="E10" s="24" t="str">
        <x:v>产品</x:v>
      </x:c>
      <x:c r="F10" s="26" t="str"/>
    </x:row>
    <x:row r="11" ht="44" customHeight="1">
      <x:c r="A11" s="24" t="str">
        <x:v>AI内容</x:v>
      </x:c>
      <x:c r="B11" s="24" t="str">
        <x:v>AI场景未伪造产品UI，按要求保留AI标识</x:v>
      </x:c>
      <x:c r="C11" s="24" t="str">
        <x:v>使用AI素材时</x:v>
      </x:c>
      <x:c r="D11" s="24" t="str">
        <x:v>是</x:v>
      </x:c>
      <x:c r="E11" s="24" t="str">
        <x:v>设计+合规</x:v>
      </x:c>
      <x:c r="F11" s="26" t="str"/>
    </x:row>
    <x:row r="12" ht="44" customHeight="1">
      <x:c r="A12" s="24" t="str">
        <x:v>AI结果</x:v>
      </x:c>
      <x:c r="B12" s="24" t="str">
        <x:v>保留“AI生成，请提交前核对”等醒目提示</x:v>
      </x:c>
      <x:c r="C12" s="24" t="str">
        <x:v>展示结果时</x:v>
      </x:c>
      <x:c r="D12" s="24" t="str">
        <x:v>是</x:v>
      </x:c>
      <x:c r="E12" s="24" t="str">
        <x:v>内容</x:v>
      </x:c>
      <x:c r="F12" s="26" t="str"/>
    </x:row>
    <x:row r="13" ht="44" customHeight="1">
      <x:c r="A13" s="24" t="str">
        <x:v>格式口径</x:v>
      </x:c>
      <x:c r="B13" s="24" t="str">
        <x:v>写清当前主要下载格式为Markdown</x:v>
      </x:c>
      <x:c r="C13" s="24" t="str">
        <x:v>涉及导出时</x:v>
      </x:c>
      <x:c r="D13" s="24" t="str">
        <x:v>是</x:v>
      </x:c>
      <x:c r="E13" s="24" t="str">
        <x:v>产品</x:v>
      </x:c>
      <x:c r="F13" s="26" t="str"/>
    </x:row>
    <x:row r="14" ht="44" customHeight="1">
      <x:c r="A14" s="24" t="str">
        <x:v>平台规则</x:v>
      </x:c>
      <x:c r="B14" s="24" t="str">
        <x:v>无联系方式、二维码、站外暗语或诱导互动</x:v>
      </x:c>
      <x:c r="C14" s="24" t="str">
        <x:v>每条</x:v>
      </x:c>
      <x:c r="D14" s="24" t="str">
        <x:v>是</x:v>
      </x:c>
      <x:c r="E14" s="24" t="str">
        <x:v>运营</x:v>
      </x:c>
      <x:c r="F14" s="26" t="str"/>
    </x:row>
    <x:row r="15" ht="44" customHeight="1">
      <x:c r="A15" s="24" t="str">
        <x:v>数据引用</x:v>
      </x:c>
      <x:c r="B15" s="24" t="str">
        <x:v>所有数字有来源、日期和原始链接</x:v>
      </x:c>
      <x:c r="C15" s="24" t="str">
        <x:v>出现数据时</x:v>
      </x:c>
      <x:c r="D15" s="24" t="str">
        <x:v>是</x:v>
      </x:c>
      <x:c r="E15" s="24" t="str">
        <x:v>研究</x:v>
      </x:c>
      <x:c r="F15" s="26" t="str"/>
    </x:row>
    <x:row r="16" ht="44" customHeight="1">
      <x:c r="A16" s="24" t="str">
        <x:v>版权</x:v>
      </x:c>
      <x:c r="B16" s="24" t="str">
        <x:v>字体、图片、音乐、竞品截图来源可追踪</x:v>
      </x:c>
      <x:c r="C16" s="24" t="str">
        <x:v>每条</x:v>
      </x:c>
      <x:c r="D16" s="24" t="str">
        <x:v>是</x:v>
      </x:c>
      <x:c r="E16" s="24" t="str">
        <x:v>设计</x:v>
      </x:c>
      <x:c r="F16" s="26" t="str"/>
    </x:row>
    <x:row r="17" ht="44" customHeight="1">
      <x:c r="A17" s="24" t="str">
        <x:v>质量</x:v>
      </x:c>
      <x:c r="B17" s="24" t="str">
        <x:v>移动端预览无截断、错字、账号通知或文件路径</x:v>
      </x:c>
      <x:c r="C17" s="24" t="str">
        <x:v>每条</x:v>
      </x:c>
      <x:c r="D17" s="24" t="str">
        <x:v>是</x:v>
      </x:c>
      <x:c r="E17" s="24" t="str">
        <x:v>运营</x:v>
      </x:c>
      <x:c r="F17" s="26" t="str"/>
    </x:row>
    <x:row r="18" ht="44" customHeight="1">
      <x:c r="A18" s="24" t="str">
        <x:v>转化</x:v>
      </x:c>
      <x:c r="B18" s="24" t="str">
        <x:v>CTA、落地页或平台组件已实际测试</x:v>
      </x:c>
      <x:c r="C18" s="24" t="str">
        <x:v>有入口时</x:v>
      </x:c>
      <x:c r="D18" s="24" t="str">
        <x:v>是</x:v>
      </x:c>
      <x:c r="E18" s="24" t="str">
        <x:v>产品</x:v>
      </x:c>
      <x:c r="F18" s="26" t="str"/>
    </x:row>
    <x:row r="19" ht="44" customHeight="1">
      <x:c r="A19" s="24" t="str">
        <x:v>审批</x:v>
      </x:c>
      <x:c r="B19" s="24" t="str">
        <x:v>风险等级对应审批人已确认</x:v>
      </x:c>
      <x:c r="C19" s="24" t="str">
        <x:v>每条</x:v>
      </x:c>
      <x:c r="D19" s="24" t="str">
        <x:v>是</x:v>
      </x:c>
      <x:c r="E19" s="24" t="str">
        <x:v>运营</x:v>
      </x:c>
      <x:c r="F19" s="26" t="str"/>
    </x:row>
  </x:sheetData>
  <x:mergeCells>
    <x:mergeCell ref="A1:F1"/>
    <x:mergeCell ref="A2:F2"/>
  </x:mergeCells>
  <x:dataValidations count="1">
    <x:dataValidation type="list" sqref="F6:F19">
      <x:formula1>"待检查,通过,不通过,不适用"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8f549e71c549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8" hidden="0" customWidth="1"/>
    <x:col min="5" max="5" width="46" hidden="0" customWidth="1"/>
    <x:col min="6" max="6" width="58" hidden="0" customWidth="1"/>
  </x:cols>
  <x:sheetData>
    <x:row r="1" ht="34" customHeight="1">
      <x:c r="A1" s="3" t="str">
        <x:v>来源与检索日期</x:v>
      </x:c>
      <x:c r="B1" s="3"/>
      <x:c r="C1" s="3"/>
      <x:c r="D1" s="3"/>
      <x:c r="E1" s="3"/>
      <x:c r="F1" s="3"/>
    </x:row>
    <x:row r="2" ht="34" customHeight="1">
      <x:c r="A2" s="7" t="str">
        <x:v>所有实时规则、趋势与竞品信息检索于 2026-08-16；执行前应复核最新原文。</x:v>
      </x:c>
      <x:c r="B2" s="7"/>
      <x:c r="C2" s="7"/>
      <x:c r="D2" s="7"/>
      <x:c r="E2" s="7"/>
      <x:c r="F2" s="7"/>
    </x:row>
    <x:row r="5" ht="30" customHeight="1">
      <x:c r="A5" s="20" t="str">
        <x:v>来源ID</x:v>
      </x:c>
      <x:c r="B5" s="20" t="str">
        <x:v>来源</x:v>
      </x:c>
      <x:c r="C5" s="20" t="str">
        <x:v>类型</x:v>
      </x:c>
      <x:c r="D5" s="20" t="str">
        <x:v>页面/发布日期</x:v>
      </x:c>
      <x:c r="E5" s="20" t="str">
        <x:v>支持结论</x:v>
      </x:c>
      <x:c r="F5" s="20" t="str">
        <x:v>原始链接</x:v>
      </x:c>
    </x:row>
    <x:row r="6" ht="44" customHeight="1">
      <x:c r="A6" s="24" t="str">
        <x:v>S-01</x:v>
      </x:c>
      <x:c r="B6" s="24" t="str">
        <x:v>小红书开放平台</x:v>
      </x:c>
      <x:c r="C6" s="24" t="str">
        <x:v>官方</x:v>
      </x:c>
      <x:c r="D6" s="24" t="str">
        <x:v>访问于 2026-08-16</x:v>
      </x:c>
      <x:c r="E6" s="24" t="str">
        <x:v>约3亿月活、90% UGC、约3亿次日均搜索查询</x:v>
      </x:c>
      <x:c r="F6" s="27" t="str">
        <x:v>https://ad-market.xiaohongshu.com/</x:v>
      </x:c>
    </x:row>
    <x:row r="7" ht="44" customHeight="1">
      <x:c r="A7" s="24" t="str">
        <x:v>S-02</x:v>
      </x:c>
      <x:c r="B7" s="24" t="str">
        <x:v>小红书聚光《专业号认证规则规范》</x:v>
      </x:c>
      <x:c r="C7" s="24" t="str">
        <x:v>官方规则</x:v>
      </x:c>
      <x:c r="D7" s="24" t="str">
        <x:v>更新 2026-07-22</x:v>
      </x:c>
      <x:c r="E7" s="24" t="str">
        <x:v>企业专业号、命名、账号基础信息与导流限制</x:v>
      </x:c>
      <x:c r="F7" s="27" t="str">
        <x:v>https://ad.xiaohongshu.com/next_help/docs/195c5fe505c71b4b0335a2fe0d61d8e0</x:v>
      </x:c>
    </x:row>
    <x:row r="8" ht="44" customHeight="1">
      <x:c r="A8" s="24" t="str">
        <x:v>S-03</x:v>
      </x:c>
      <x:c r="B8" s="24" t="str">
        <x:v>小红书聚光《内容审核规则总则》</x:v>
      </x:c>
      <x:c r="C8" s="24" t="str">
        <x:v>官方规则</x:v>
      </x:c>
      <x:c r="D8" s="24" t="str">
        <x:v>更新 2026-03-23</x:v>
      </x:c>
      <x:c r="E8" s="24" t="str">
        <x:v>站外导流、诱导互动、夸张表述和物料审核</x:v>
      </x:c>
      <x:c r="F8" s="27" t="str">
        <x:v>https://ad.xiaohongshu.com/next_help/docs/8dc5bd9c45c9a90cb9912f3400d43f92</x:v>
      </x:c>
    </x:row>
    <x:row r="9" ht="44" customHeight="1">
      <x:c r="A9" s="24" t="str">
        <x:v>S-04</x:v>
      </x:c>
      <x:c r="B9" s="24" t="str">
        <x:v>小红书专业号平台</x:v>
      </x:c>
      <x:c r="C9" s="24" t="str">
        <x:v>官方</x:v>
      </x:c>
      <x:c r="D9" s="24" t="str">
        <x:v>访问于 2026-08-16</x:v>
      </x:c>
      <x:c r="E9" s="24" t="str">
        <x:v>数据洞察、主页管理、互动与推广能力</x:v>
      </x:c>
      <x:c r="F9" s="27" t="str">
        <x:v>https://pro.xiaohongshu.com/</x:v>
      </x:c>
    </x:row>
    <x:row r="10" ht="44" customHeight="1">
      <x:c r="A10" s="24" t="str">
        <x:v>S-05</x:v>
      </x:c>
      <x:c r="B10" s="24" t="str">
        <x:v>小红书2026校招趋势报告公开转载</x:v>
      </x:c>
      <x:c r="C10" s="24" t="str">
        <x:v>二手转载</x:v>
      </x:c>
      <x:c r="D10" s="24" t="str">
        <x:v>发布 2025-11-13</x:v>
      </x:c>
      <x:c r="E10" s="24" t="str">
        <x:v>岗位解读、简历攻略、面试技巧与求修改需求；上线前复核原报告</x:v>
      </x:c>
      <x:c r="F10" s="27" t="str">
        <x:v>https://www.sohu.com/a/953901756_121948640</x:v>
      </x:c>
    </x:row>
    <x:row r="11" ht="44" customHeight="1">
      <x:c r="A11" s="24" t="str">
        <x:v>S-06</x:v>
      </x:c>
      <x:c r="B11" s="24" t="str">
        <x:v>Neodrop小红书公开搜索样本</x:v>
      </x:c>
      <x:c r="C11" s="24" t="str">
        <x:v>第三方抽样</x:v>
      </x:c>
      <x:c r="D11" s="24" t="str">
        <x:v>发布 2026-07-15</x:v>
      </x:c>
      <x:c r="E11" s="24" t="str">
        <x:v>应届生简历、具体任务和简洁版式；不是官方热榜</x:v>
      </x:c>
      <x:c r="F11" s="27" t="str">
        <x:v>https://neodrop.ai/zh-cn/post/oj7t7C17zJR</x:v>
      </x:c>
    </x:row>
    <x:row r="12" ht="44" customHeight="1">
      <x:c r="A12" s="24" t="str">
        <x:v>S-07</x:v>
      </x:c>
      <x:c r="B12" s="24" t="str">
        <x:v>2025小红书内容营销攻略公开摘要</x:v>
      </x:c>
      <x:c r="C12" s="24" t="str">
        <x:v>第三方报告摘要</x:v>
      </x:c>
      <x:c r="D12" s="24" t="str">
        <x:v>访问于 2026-08-16</x:v>
      </x:c>
      <x:c r="E12" s="24" t="str">
        <x:v>清单、干货、教程、评测等实用内容形态</x:v>
      </x:c>
      <x:c r="F12" s="27" t="str">
        <x:v>https://www.fxbaogao.com/detail/4965172</x:v>
      </x:c>
    </x:row>
    <x:row r="13" ht="44" customHeight="1">
      <x:c r="A13" s="24" t="str">
        <x:v>S-08</x:v>
      </x:c>
      <x:c r="B13" s="24" t="str">
        <x:v>超级简历WonderCV官网</x:v>
      </x:c>
      <x:c r="C13" s="24" t="str">
        <x:v>竞品官方</x:v>
      </x:c>
      <x:c r="D13" s="24" t="str">
        <x:v>访问于 2026-08-16</x:v>
      </x:c>
      <x:c r="E13" s="24" t="str">
        <x:v>模板、AI生成/优化、JD定制与多端能力</x:v>
      </x:c>
      <x:c r="F13" s="27" t="str">
        <x:v>https://www.wondercv.com/</x:v>
      </x:c>
    </x:row>
    <x:row r="14" ht="44" customHeight="1">
      <x:c r="A14" s="24" t="str">
        <x:v>S-09</x:v>
      </x:c>
      <x:c r="B14" s="24" t="str">
        <x:v>超级简历人工服务页</x:v>
      </x:c>
      <x:c r="C14" s="24" t="str">
        <x:v>竞品官方</x:v>
      </x:c>
      <x:c r="D14" s="24" t="str">
        <x:v>访问于 2026-08-16</x:v>
      </x:c>
      <x:c r="E14" s="24" t="str">
        <x:v>人工简历、面试、职业咨询与代投替代方案</x:v>
      </x:c>
      <x:c r="F14" s="27" t="str">
        <x:v>https://www.wondercv.com/service/</x:v>
      </x:c>
    </x:row>
    <x:row r="15" ht="44" customHeight="1">
      <x:c r="A15" s="24" t="str">
        <x:v>S-10</x:v>
      </x:c>
      <x:c r="B15" s="24" t="str">
        <x:v>未来简历官网</x:v>
      </x:c>
      <x:c r="C15" s="24" t="str">
        <x:v>竞品官方</x:v>
      </x:c>
      <x:c r="D15" s="24" t="str">
        <x:v>访问于 2026-08-16</x:v>
      </x:c>
      <x:c r="E15" s="24" t="str">
        <x:v>AI定制、模板、质量评估与面试助手</x:v>
      </x:c>
      <x:c r="F15" s="27" t="str">
        <x:v>https://futurecv.cn/</x:v>
      </x:c>
    </x:row>
    <x:row r="16" ht="44" customHeight="1">
      <x:c r="A16" s="24" t="str">
        <x:v>S-11</x:v>
      </x:c>
      <x:c r="B16" s="24" t="str">
        <x:v>知页简历官网</x:v>
      </x:c>
      <x:c r="C16" s="24" t="str">
        <x:v>竞品官方</x:v>
      </x:c>
      <x:c r="D16" s="24" t="str">
        <x:v>访问于 2026-08-16</x:v>
      </x:c>
      <x:c r="E16" s="24" t="str">
        <x:v>模板、自动排版、AI诊断与移动编辑</x:v>
      </x:c>
      <x:c r="F16" s="27" t="str">
        <x:v>https://www.zhiyeapp.com/</x:v>
      </x:c>
    </x:row>
    <x:row r="17" ht="44" customHeight="1">
      <x:c r="A17" s="24" t="str">
        <x:v>S-12</x:v>
      </x:c>
      <x:c r="B17" s="24" t="str">
        <x:v>中华人民共和国广告法</x:v>
      </x:c>
      <x:c r="C17" s="24" t="str">
        <x:v>政府/法律</x:v>
      </x:c>
      <x:c r="D17" s="24" t="str">
        <x:v>现行有效页面，访问于 2026-08-16</x:v>
      </x:c>
      <x:c r="E17" s="24" t="str">
        <x:v>广告真实性、引证数据准确和来源要求</x:v>
      </x:c>
      <x:c r="F17" s="27" t="str">
        <x:v>https://www.samr.gov.cn/zw/zfxxgk/fdzdgknr/fgs/art/2023/art_5474cf75173c45d6a0379730fb4e8d97.html</x:v>
      </x:c>
    </x:row>
    <x:row r="18" ht="44" customHeight="1">
      <x:c r="A18" s="24" t="str">
        <x:v>S-13</x:v>
      </x:c>
      <x:c r="B18" s="24" t="str">
        <x:v>互联网广告管理办法</x:v>
      </x:c>
      <x:c r="C18" s="24" t="str">
        <x:v>政府/规章</x:v>
      </x:c>
      <x:c r="D18" s="24" t="str">
        <x:v>2023-05-01起施行</x:v>
      </x:c>
      <x:c r="E18" s="24" t="str">
        <x:v>互联网广告主体、真实性与档案要求</x:v>
      </x:c>
      <x:c r="F18" s="27" t="str">
        <x:v>https://www.samr.gov.cn/zw/zfxxgk/fdzdgknr/fgs/art/2023/art_d93a579afd45413e8576e4623fab348f.html</x:v>
      </x:c>
    </x:row>
    <x:row r="19" ht="44" customHeight="1">
      <x:c r="A19" s="24" t="str">
        <x:v>S-14</x:v>
      </x:c>
      <x:c r="B19" s="24" t="str">
        <x:v>人工智能生成合成内容标识办法</x:v>
      </x:c>
      <x:c r="C19" s="24" t="str">
        <x:v>政府/规章</x:v>
      </x:c>
      <x:c r="D19" s="24" t="str">
        <x:v>2025-09-01起施行</x:v>
      </x:c>
      <x:c r="E19" s="24" t="str">
        <x:v>AI内容显式/隐式标识与不得恶意删除篡改</x:v>
      </x:c>
      <x:c r="F19" s="27" t="str">
        <x:v>https://www.cac.gov.cn/2025-03/14/c_1743654685899683.htm</x:v>
      </x:c>
    </x:row>
    <x:row r="20" ht="44" customHeight="1">
      <x:c r="A20" s="24" t="str">
        <x:v>S-15</x:v>
      </x:c>
      <x:c r="B20" s="24" t="str">
        <x:v>中华人民共和国个人信息保护法</x:v>
      </x:c>
      <x:c r="C20" s="24" t="str">
        <x:v>政府/法律</x:v>
      </x:c>
      <x:c r="D20" s="24" t="str">
        <x:v>访问于 2026-08-16</x:v>
      </x:c>
      <x:c r="E20" s="24" t="str">
        <x:v>个人信息权益与处理基本要求</x:v>
      </x:c>
      <x:c r="F20" s="27" t="str">
        <x:v>https://www.miit.gov.cn/jgsj/zfs/fl/art/2022/art_515a4b20c12f430eab54bb4f56d89f56.html</x:v>
      </x:c>
    </x:row>
    <x:row r="21" ht="44" customHeight="1">
      <x:c r="A21" s="24" t="str">
        <x:v>S-16</x:v>
      </x:c>
      <x:c r="B21" s="24" t="str">
        <x:v>生成式人工智能服务管理暂行办法</x:v>
      </x:c>
      <x:c r="C21" s="24" t="str">
        <x:v>政府/规章</x:v>
      </x:c>
      <x:c r="D21" s="24" t="str">
        <x:v>2023-08-15起施行</x:v>
      </x:c>
      <x:c r="E21" s="24" t="str">
        <x:v>生成式AI服务、个人信息和内容治理</x:v>
      </x:c>
      <x:c r="F21" s="27" t="str">
        <x:v>https://www.cac.gov.cn/2023-07/13/c_1690898327029107.htm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380ba0099a41a6"/>
  </x:tableParts>
</x:worksheet>
</file>