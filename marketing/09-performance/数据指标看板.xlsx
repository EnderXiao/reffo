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476370183940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与指标" sheetId="1" r:id="Rd6d59cbb828b444a"/>
    <x:sheet xmlns:r="http://schemas.openxmlformats.org/officeDocument/2006/relationships" name="日数据" sheetId="2" r:id="R1e8517b166c94906"/>
    <x:sheet xmlns:r="http://schemas.openxmlformats.org/officeDocument/2006/relationships" name="内容明细" sheetId="3" r:id="R175d512dd04042ab"/>
    <x:sheet xmlns:r="http://schemas.openxmlformats.org/officeDocument/2006/relationships" name="目标设置" sheetId="4" r:id="R0b3d3d5148594814"/>
    <x:sheet xmlns:r="http://schemas.openxmlformats.org/officeDocument/2006/relationships" name="A_B测试" sheetId="5" r:id="R551a5e8b99264c2a"/>
    <x:sheet xmlns:r="http://schemas.openxmlformats.org/officeDocument/2006/relationships" name="总览" sheetId="6" r:id="Rfe97e78795664804"/>
    <x:sheet xmlns:r="http://schemas.openxmlformats.org/officeDocument/2006/relationships" name="来源" sheetId="7" r:id="Rb21eac98892547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%"/>
    <x:numFmt numFmtId="202" formatCode="¥#,##0.00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0"/>
      <x:color rgb="FF667085"/>
      <x:name val="Carlito"/>
    </x:font>
    <x:font>
      <x:b/>
      <x:sz val="10"/>
      <x:color rgb="FFFFFFFF"/>
      <x:name val="Carlito"/>
    </x:font>
    <x:font>
      <x:sz val="10"/>
      <x:color rgb="FF243041"/>
      <x:name val="Carlito"/>
    </x:font>
    <x:font>
      <x:b/>
      <x:sz val="11"/>
      <x:color rgb="FF8A1C1C"/>
      <x:name val="Carlito"/>
    </x:font>
    <x:font>
      <x:b/>
      <x:sz val="11"/>
      <x:color rgb="FFFFFFFF"/>
      <x:name val="Carlito"/>
    </x:font>
    <x:font>
      <x:b/>
      <x:sz val="16"/>
      <x:color rgb="FF243041"/>
      <x:name val="Carlito"/>
    </x:font>
    <x:font>
      <x:sz val="9"/>
      <x:color rgb="FF1D4ED8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233B"/>
      </x:patternFill>
    </x:fill>
    <x:fill>
      <x:patternFill patternType="solid">
        <x:fgColor rgb="FFF7F3EA"/>
      </x:patternFill>
    </x:fill>
    <x:fill>
      <x:patternFill patternType="solid">
        <x:fgColor rgb="FFE8664A"/>
      </x:patternFill>
    </x:fill>
    <x:fill>
      <x:patternFill patternType="solid">
        <x:fgColor rgb="FFFCE1DF"/>
      </x:patternFill>
    </x:fill>
    <x:fill>
      <x:patternFill patternType="solid">
        <x:fgColor rgb="FFFFF3C4"/>
      </x:patternFill>
    </x:fill>
    <x:fill>
      <x:patternFill patternType="solid">
        <x:fgColor rgb="FFDCE9F8"/>
      </x:patternFill>
    </x:fill>
  </x:fills>
  <x:borders count="6">
    <x:border/>
    <x:border>
      <x:left style="thin">
        <x:color rgb="FFD6DAE1"/>
      </x:left>
      <x:right style="thin">
        <x:color rgb="FFD6DAE1"/>
      </x:right>
      <x:top style="thin">
        <x:color rgb="FFD6DAE1"/>
      </x:top>
      <x:bottom style="thin">
        <x:color rgb="FFD6DAE1"/>
      </x:bottom>
    </x:border>
    <x:border>
      <x:left style="thin">
        <x:color rgb="FFD6DAE1"/>
      </x:left>
      <x:top style="thin">
        <x:color rgb="FFD6DAE1"/>
      </x:top>
    </x:border>
    <x:border>
      <x:right style="thin">
        <x:color rgb="FFD6DAE1"/>
      </x:right>
      <x:top style="thin">
        <x:color rgb="FFD6DAE1"/>
      </x:top>
    </x:border>
    <x:border>
      <x:left style="thin">
        <x:color rgb="FFD6DAE1"/>
      </x:left>
      <x:bottom style="thin">
        <x:color rgb="FFD6DAE1"/>
      </x:bottom>
    </x:border>
    <x:border>
      <x:right style="thin">
        <x:color rgb="FFD6DAE1"/>
      </x:right>
      <x:bottom style="thin">
        <x:color rgb="FFD6DAE1"/>
      </x:bottom>
    </x:border>
  </x:borders>
  <x:cellStyleXfs count="1">
    <x:xf numFmtId="0" fontId="0" fillId="0" borderId="0"/>
  </x:cellStyleXfs>
  <x:cellXfs count="7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4" fillId="7" borderId="1" xfId="0" applyNumberFormat="1" applyFont="1" applyFill="1" applyBorder="1" applyAlignment="1">
      <x:alignment vertical="top" wrapText="1"/>
    </x:xf>
    <x:xf numFmtId="201" fontId="4" fillId="7" borderId="1" xfId="0" applyNumberFormat="1" applyFont="1" applyFill="1" applyBorder="1" applyAlignment="1">
      <x:alignment vertical="top" wrapText="1"/>
    </x:xf>
    <x:xf numFmtId="202" fontId="4" fillId="6" borderId="1" xfId="0" applyNumberFormat="1" applyFont="1" applyFill="1" applyBorder="1" applyAlignment="1">
      <x:alignment vertical="top" wrapText="1"/>
    </x:xf>
    <x:xf numFmtId="202" fontId="4" fillId="7" borderId="1" xfId="0" applyNumberFormat="1" applyFont="1" applyFill="1" applyBorder="1" applyAlignment="1">
      <x:alignment vertical="top" wrapText="1"/>
    </x:xf>
    <x:xf numFmtId="200" fontId="4" fillId="6" borderId="1" xfId="0" applyNumberFormat="1" applyFont="1" applyFill="1" applyBorder="1" applyAlignment="1">
      <x:alignment vertical="top" wrapText="1"/>
    </x:xf>
    <x:xf numFmtId="201" fontId="4" fillId="6" borderId="1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/>
    <x:xf numFmtId="0" fontId="7" fillId="3" borderId="2" xfId="0" applyNumberFormat="1" applyFont="1" applyFill="1" applyBorder="1"/>
    <x:xf numFmtId="0" fontId="7" fillId="3" borderId="3" xfId="0" applyNumberFormat="1" applyFont="1" applyFill="1" applyBorder="1"/>
    <x:xf numFmtId="0" fontId="7" fillId="3" borderId="4" xfId="0" applyNumberFormat="1" applyFont="1" applyFill="1" applyBorder="1"/>
    <x:xf numFmtId="0" fontId="7" fillId="3" borderId="5" xfId="0" applyNumberFormat="1" applyFont="1" applyFill="1" applyBorder="1"/>
    <x:xf numFmtId="0" fontId="7" fillId="3" borderId="2" xfId="0" applyNumberFormat="1" applyFont="1" applyFill="1" applyBorder="1" applyAlignment="1">
      <x:alignment horizontal="center"/>
    </x:xf>
    <x:xf numFmtId="0" fontId="7" fillId="3" borderId="3" xfId="0" applyNumberFormat="1" applyFont="1" applyFill="1" applyBorder="1" applyAlignment="1">
      <x:alignment horizontal="center"/>
    </x:xf>
    <x:xf numFmtId="0" fontId="7" fillId="3" borderId="4" xfId="0" applyNumberFormat="1" applyFont="1" applyFill="1" applyBorder="1" applyAlignment="1">
      <x:alignment horizontal="center"/>
    </x:xf>
    <x:xf numFmtId="0" fontId="7" fillId="3" borderId="5" xfId="0" applyNumberFormat="1" applyFont="1" applyFill="1" applyBorder="1" applyAlignment="1">
      <x:alignment horizontal="center"/>
    </x:xf>
    <x:xf numFmtId="0" fontId="7" fillId="3" borderId="2" xfId="0" applyNumberFormat="1" applyFont="1" applyFill="1" applyBorder="1" applyAlignment="1">
      <x:alignment horizontal="center" vertical="center"/>
    </x:xf>
    <x:xf numFmtId="0" fontId="7" fillId="3" borderId="3" xfId="0" applyNumberFormat="1" applyFont="1" applyFill="1" applyBorder="1" applyAlignment="1">
      <x:alignment horizontal="center" vertical="center"/>
    </x:xf>
    <x:xf numFmtId="0" fontId="7" fillId="3" borderId="4" xfId="0" applyNumberFormat="1" applyFont="1" applyFill="1" applyBorder="1" applyAlignment="1">
      <x:alignment horizontal="center" vertical="center"/>
    </x:xf>
    <x:xf numFmtId="0" fontId="7" fillId="3" borderId="5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2" xfId="0" applyNumberFormat="1" applyFont="1" applyFill="1" applyBorder="1"/>
    <x:xf numFmtId="0" fontId="7" fillId="7" borderId="3" xfId="0" applyNumberFormat="1" applyFont="1" applyFill="1" applyBorder="1"/>
    <x:xf numFmtId="0" fontId="7" fillId="7" borderId="4" xfId="0" applyNumberFormat="1" applyFont="1" applyFill="1" applyBorder="1"/>
    <x:xf numFmtId="0" fontId="7" fillId="7" borderId="5" xfId="0" applyNumberFormat="1" applyFont="1" applyFill="1" applyBorder="1"/>
    <x:xf numFmtId="0" fontId="7" fillId="7" borderId="2" xfId="0" applyNumberFormat="1" applyFont="1" applyFill="1" applyBorder="1" applyAlignment="1">
      <x:alignment horizontal="center"/>
    </x:xf>
    <x:xf numFmtId="0" fontId="7" fillId="7" borderId="3" xfId="0" applyNumberFormat="1" applyFont="1" applyFill="1" applyBorder="1" applyAlignment="1">
      <x:alignment horizontal="center"/>
    </x:xf>
    <x:xf numFmtId="0" fontId="7" fillId="7" borderId="4" xfId="0" applyNumberFormat="1" applyFont="1" applyFill="1" applyBorder="1" applyAlignment="1">
      <x:alignment horizontal="center"/>
    </x:xf>
    <x:xf numFmtId="0" fontId="7" fillId="7" borderId="5" xfId="0" applyNumberFormat="1" applyFont="1" applyFill="1" applyBorder="1" applyAlignment="1">
      <x:alignment horizontal="center"/>
    </x:xf>
    <x:xf numFmtId="0" fontId="7" fillId="7" borderId="2" xfId="0" applyNumberFormat="1" applyFont="1" applyFill="1" applyBorder="1" applyAlignment="1">
      <x:alignment horizontal="center" vertical="center"/>
    </x:xf>
    <x:xf numFmtId="0" fontId="7" fillId="7" borderId="3" xfId="0" applyNumberFormat="1" applyFont="1" applyFill="1" applyBorder="1" applyAlignment="1">
      <x:alignment horizontal="center" vertical="center"/>
    </x:xf>
    <x:xf numFmtId="0" fontId="7" fillId="7" borderId="4" xfId="0" applyNumberFormat="1" applyFont="1" applyFill="1" applyBorder="1" applyAlignment="1">
      <x:alignment horizontal="center" vertical="center"/>
    </x:xf>
    <x:xf numFmtId="0" fontId="7" fillId="7" borderId="5" xfId="0" applyNumberFormat="1" applyFont="1" applyFill="1" applyBorder="1" applyAlignment="1">
      <x:alignment horizontal="center" vertical="center"/>
    </x:xf>
    <x:xf numFmtId="202" fontId="7" fillId="3" borderId="2" xfId="0" applyNumberFormat="1" applyFont="1" applyFill="1" applyBorder="1" applyAlignment="1">
      <x:alignment horizontal="center" vertical="center"/>
    </x:xf>
    <x:xf numFmtId="202" fontId="7" fillId="3" borderId="3" xfId="0" applyNumberFormat="1" applyFont="1" applyFill="1" applyBorder="1" applyAlignment="1">
      <x:alignment horizontal="center" vertical="center"/>
    </x:xf>
    <x:xf numFmtId="202" fontId="7" fillId="3" borderId="4" xfId="0" applyNumberFormat="1" applyFont="1" applyFill="1" applyBorder="1" applyAlignment="1">
      <x:alignment horizontal="center" vertical="center"/>
    </x:xf>
    <x:xf numFmtId="202" fontId="7" fillId="3" borderId="5" xfId="0" applyNumberFormat="1" applyFont="1" applyFill="1" applyBorder="1" applyAlignment="1">
      <x:alignment horizontal="center" vertical="center"/>
    </x:xf>
    <x:xf numFmtId="201" fontId="7" fillId="7" borderId="2" xfId="0" applyNumberFormat="1" applyFont="1" applyFill="1" applyBorder="1" applyAlignment="1">
      <x:alignment horizontal="center" vertical="center"/>
    </x:xf>
    <x:xf numFmtId="201" fontId="7" fillId="7" borderId="3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1" fontId="7" fillId="7" borderId="4" xfId="0" applyNumberFormat="1" applyFont="1" applyFill="1" applyBorder="1" applyAlignment="1">
      <x:alignment horizontal="center" vertical="center"/>
    </x:xf>
    <x:xf numFmtId="201" fontId="7" fillId="7" borderId="5" xfId="0" applyNumberFormat="1" applyFont="1" applyFill="1" applyBorder="1" applyAlignment="1">
      <x:alignment horizontal="center" vertical="center"/>
    </x:xf>
    <x:xf numFmtId="202" fontId="7" fillId="7" borderId="2" xfId="0" applyNumberFormat="1" applyFont="1" applyFill="1" applyBorder="1" applyAlignment="1">
      <x:alignment horizontal="center" vertical="center"/>
    </x:xf>
    <x:xf numFmtId="202" fontId="7" fillId="7" borderId="3" xfId="0" applyNumberFormat="1" applyFont="1" applyFill="1" applyBorder="1" applyAlignment="1">
      <x:alignment horizontal="center" vertical="center"/>
    </x:xf>
    <x:xf numFmtId="202" fontId="7" fillId="7" borderId="4" xfId="0" applyNumberFormat="1" applyFont="1" applyFill="1" applyBorder="1" applyAlignment="1">
      <x:alignment horizontal="center" vertical="center"/>
    </x:xf>
    <x:xf numFmtId="202" fontId="7" fillId="7" borderId="5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8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c50920b2904352" /><Relationship Type="http://schemas.openxmlformats.org/officeDocument/2006/relationships/theme" Target="/xl/theme/theme1.xml" Id="Rf8e00c6f3d4d4c8b" /><Relationship Type="http://schemas.openxmlformats.org/officeDocument/2006/relationships/sharedStrings" Target="/xl/sharedStrings.xml" Id="R4b75b2ef76804844" /><Relationship Type="http://schemas.openxmlformats.org/officeDocument/2006/relationships/worksheet" Target="/xl/worksheets/sheet1.xml" Id="Rd6d59cbb828b444a" /><Relationship Type="http://schemas.openxmlformats.org/officeDocument/2006/relationships/worksheet" Target="/xl/worksheets/sheet2.xml" Id="R1e8517b166c94906" /><Relationship Type="http://schemas.openxmlformats.org/officeDocument/2006/relationships/worksheet" Target="/xl/worksheets/sheet3.xml" Id="R175d512dd04042ab" /><Relationship Type="http://schemas.openxmlformats.org/officeDocument/2006/relationships/worksheet" Target="/xl/worksheets/sheet4.xml" Id="R0b3d3d5148594814" /><Relationship Type="http://schemas.openxmlformats.org/officeDocument/2006/relationships/worksheet" Target="/xl/worksheets/sheet5.xml" Id="R551a5e8b99264c2a" /><Relationship Type="http://schemas.openxmlformats.org/officeDocument/2006/relationships/worksheet" Target="/xl/worksheets/sheet6.xml" Id="Rfe97e78795664804" /><Relationship Type="http://schemas.openxmlformats.org/officeDocument/2006/relationships/worksheet" Target="/xl/worksheets/sheet7.xml" Id="Rb21eac988925477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b8985ca3a2c4fd6" /><Relationship Type="http://schemas.openxmlformats.org/officeDocument/2006/relationships/chart" Target="/xl/drawings/charts/chart2.xml" Id="Rad090860b68a495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30天内容与转化趋势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曝光</c:v>
          </c:tx>
          <c:marker>
            <c:symbol val="none"/>
          </c:marker>
          <c:cat>
            <c:strRef>
              <c:f>'总览'!$A$23:$A$52</c:f>
              <c:strCache>
                <c:ptCount val="0"/>
              </c:strCache>
            </c:strRef>
          </c:cat>
          <c:val>
            <c:numRef>
              <c:f>'总览'!$B$23:$B$52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阅读</c:v>
          </c:tx>
          <c:marker>
            <c:symbol val="none"/>
          </c:marker>
          <c:cat>
            <c:strRef>
              <c:f>'总览'!$A$23:$A$52</c:f>
              <c:strCache>
                <c:ptCount val="0"/>
              </c:strCache>
            </c:strRef>
          </c:cat>
          <c:val>
            <c:numRef>
              <c:f>'总览'!$C$23:$C$52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v>获客</c:v>
          </c:tx>
          <c:marker>
            <c:symbol val="none"/>
          </c:marker>
          <c:cat>
            <c:strRef>
              <c:f>'总览'!$A$23:$A$52</c:f>
              <c:strCache>
                <c:ptCount val="0"/>
              </c:strCache>
            </c:strRef>
          </c:cat>
          <c:val>
            <c:numRef>
              <c:f>'总览'!$D$23:$D$52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3"/>
          <c:order val="3"/>
          <c:tx>
            <c:v>激活</c:v>
          </c:tx>
          <c:marker>
            <c:symbol val="none"/>
          </c:marker>
          <c:cat>
            <c:strRef>
              <c:f>'总览'!$A$23:$A$52</c:f>
              <c:strCache>
                <c:ptCount val="0"/>
              </c:strCache>
            </c:strRef>
          </c:cat>
          <c:val>
            <c:numRef>
              <c:f>'总览'!$E$23:$E$52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30天转化漏斗（绝对量）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30天总量</c:v>
          </c:tx>
          <c:cat>
            <c:strRef>
              <c:f>'总览'!$G$23:$G$28</c:f>
              <c:strCache>
                <c:ptCount val="0"/>
              </c:strCache>
            </c:strRef>
          </c:cat>
          <c:val>
            <c:numRef>
              <c:f>'总览'!$H$23:$H$28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12</xdr:col>
      <xdr:colOff>0</xdr:colOff>
      <xdr:row>3</xdr:row>
      <xdr:rowOff>0</xdr:rowOff>
    </xdr:from>
    <xdr:to>
      <xdr:col>20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b8985ca3a2c4fd6"/>
        </a:graphicData>
      </a:graphic>
    </xdr:graphicFrame>
    <xdr:clientData/>
  </xdr:twoCellAnchor>
  <xdr:twoCellAnchor>
    <xdr:from>
      <xdr:col>12</xdr:col>
      <xdr:colOff>0</xdr:colOff>
      <xdr:row>20</xdr:row>
      <xdr:rowOff>0</xdr:rowOff>
    </xdr:from>
    <xdr:to>
      <xdr:col>20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d090860b68a495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etricDefinitionTable" displayName="MetricDefinitionTable" ref="A5:H13" headerRowCount="1" totalsRowCount="0" totalsRowShown="0">
  <x:autoFilter ref="A5:H13"/>
  <x:tableColumns count="8">
    <x:tableColumn id="1" name="层级"/>
    <x:tableColumn id="2" name="定义"/>
    <x:tableColumn id="3" name="用途"/>
    <x:tableColumn id="4" name="建议事件"/>
    <x:tableColumn id="5" name="数据源"/>
    <x:tableColumn id="6" name="频率"/>
    <x:tableColumn id="7" name="首月阈值"/>
    <x:tableColumn id="8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ilyDataTable" displayName="DailyDataTable" ref="A5:AF35" headerRowCount="1" totalsRowCount="0" totalsRowShown="0">
  <x:autoFilter ref="A5:AF35"/>
  <x:tableColumns count="32">
    <x:tableColumn id="1" name="日期"/>
    <x:tableColumn id="2" name="平台"/>
    <x:tableColumn id="3" name="内容数"/>
    <x:tableColumn id="4" name="花费"/>
    <x:tableColumn id="5" name="曝光"/>
    <x:tableColumn id="6" name="阅读/播放"/>
    <x:tableColumn id="7" name="点赞"/>
    <x:tableColumn id="8" name="收藏"/>
    <x:tableColumn id="9" name="评论"/>
    <x:tableColumn id="10" name="分享"/>
    <x:tableColumn id="11" name="新增关注"/>
    <x:tableColumn id="12" name="主页访问"/>
    <x:tableColumn id="13" name="有效线索"/>
    <x:tableColumn id="14" name="获客用户"/>
    <x:tableColumn id="15" name="激活用户"/>
    <x:tableColumn id="16" name="编辑用户"/>
    <x:tableColumn id="17" name="下载用户"/>
    <x:tableColumn id="18" name="保存用户"/>
    <x:tableColumn id="19" name="付费用户"/>
    <x:tableColumn id="20" name="收入"/>
    <x:tableColumn id="21" name="D7第二岗位"/>
    <x:tableColumn id="22" name="D30第二岗位"/>
    <x:tableColumn id="23" name="互动量"/>
    <x:tableColumn id="24" name="互动率"/>
    <x:tableColumn id="25" name="收藏率"/>
    <x:tableColumn id="26" name="主页访问率"/>
    <x:tableColumn id="27" name="线索率"/>
    <x:tableColumn id="28" name="激活率"/>
    <x:tableColumn id="29" name="付费率"/>
    <x:tableColumn id="30" name="CAC"/>
    <x:tableColumn id="31" name="D7留存"/>
    <x:tableColumn id="32" name="ROI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ntentDetailTable" displayName="ContentDetailTable" ref="A5:Z105" headerRowCount="1" totalsRowCount="0" totalsRowShown="0">
  <x:autoFilter ref="A5:Z105"/>
  <x:tableColumns count="26">
    <x:tableColumn id="1" name="内容ID"/>
    <x:tableColumn id="2" name="发布日期"/>
    <x:tableColumn id="3" name="平台"/>
    <x:tableColumn id="4" name="内容支柱"/>
    <x:tableColumn id="5" name="形式"/>
    <x:tableColumn id="6" name="用户"/>
    <x:tableColumn id="7" name="标题"/>
    <x:tableColumn id="8" name="花费"/>
    <x:tableColumn id="9" name="曝光"/>
    <x:tableColumn id="10" name="阅读"/>
    <x:tableColumn id="11" name="点赞"/>
    <x:tableColumn id="12" name="收藏"/>
    <x:tableColumn id="13" name="评论"/>
    <x:tableColumn id="14" name="分享"/>
    <x:tableColumn id="15" name="主页访问"/>
    <x:tableColumn id="16" name="有效线索"/>
    <x:tableColumn id="17" name="获客"/>
    <x:tableColumn id="18" name="激活"/>
    <x:tableColumn id="19" name="付费"/>
    <x:tableColumn id="20" name="收入"/>
    <x:tableColumn id="21" name="互动量"/>
    <x:tableColumn id="22" name="互动率"/>
    <x:tableColumn id="23" name="收藏率"/>
    <x:tableColumn id="24" name="线索率"/>
    <x:tableColumn id="25" name="激活率"/>
    <x:tableColumn id="26" name="内容价值分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rgetTable" displayName="TargetTable" ref="A5:G13" headerRowCount="1" totalsRowCount="0" totalsRowShown="0">
  <x:autoFilter ref="A5:G13"/>
  <x:tableColumns count="7">
    <x:tableColumn id="1" name="指标"/>
    <x:tableColumn id="2" name="目标值"/>
    <x:tableColumn id="3" name="方向"/>
    <x:tableColumn id="4" name="公式"/>
    <x:tableColumn id="5" name="层级"/>
    <x:tableColumn id="6" name="校准时间"/>
    <x:tableColumn id="7" name="负责人备注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BTestTable" displayName="ABTestTable" ref="A5:P13" headerRowCount="1" totalsRowCount="0" totalsRowShown="0">
  <x:autoFilter ref="A5:P13"/>
  <x:tableColumns count="16">
    <x:tableColumn id="1" name="测试ID"/>
    <x:tableColumn id="2" name="假设"/>
    <x:tableColumn id="3" name="唯一变量"/>
    <x:tableColumn id="4" name="人群"/>
    <x:tableColumn id="5" name="平台"/>
    <x:tableColumn id="6" name="开始日期"/>
    <x:tableColumn id="7" name="A版本"/>
    <x:tableColumn id="8" name="A样本"/>
    <x:tableColumn id="9" name="A指标"/>
    <x:tableColumn id="10" name="B版本"/>
    <x:tableColumn id="11" name="B样本"/>
    <x:tableColumn id="12" name="B指标"/>
    <x:tableColumn id="13" name="相对提升"/>
    <x:tableColumn id="14" name="主指标"/>
    <x:tableColumn id="15" name="状态"/>
    <x:tableColumn id="16" name="结论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来源Table" displayName="来源Table" ref="A5:F21" headerRowCount="1" totalsRowCount="0" totalsRowShown="0">
  <x:autoFilter ref="A5:F21"/>
  <x:tableColumns count="6">
    <x:tableColumn id="1" name="来源ID"/>
    <x:tableColumn id="2" name="来源"/>
    <x:tableColumn id="3" name="类型"/>
    <x:tableColumn id="4" name="页面/发布日期"/>
    <x:tableColumn id="5" name="支持结论"/>
    <x:tableColumn id="6" name="原始链接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06a1aec92e342b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fde3762c7a643e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6327ef686f449c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ccae1330fbb4e9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23d4a662161421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fd6804b3384f4fa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7fa36fe24ac4ac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2" hidden="0" customWidth="1"/>
    <x:col min="3" max="3" width="32" hidden="0" customWidth="1"/>
    <x:col min="4" max="4" width="26" hidden="0" customWidth="1"/>
    <x:col min="5" max="5" width="18" hidden="0" customWidth="1"/>
    <x:col min="6" max="6" width="12" hidden="0" customWidth="1"/>
    <x:col min="7" max="7" width="14" hidden="0" customWidth="1"/>
    <x:col min="8" max="8" width="20" hidden="0" customWidth="1"/>
  </x:cols>
  <x:sheetData>
    <x:row r="1" ht="34" customHeight="1">
      <x:c r="A1" s="3" t="str">
        <x:v>Reffo 社交媒体数据指标看板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黄色单元格为手工/系统输入；蓝色为公式；所有目标是首月内部假设，14天后按真实基线校准。</x:v>
      </x:c>
      <x:c r="B2" s="7"/>
      <x:c r="C2" s="7"/>
      <x:c r="D2" s="7"/>
      <x:c r="E2" s="7"/>
      <x:c r="F2" s="7"/>
      <x:c r="G2" s="7"/>
      <x:c r="H2" s="7"/>
    </x:row>
    <x:row r="5" ht="30" customHeight="1">
      <x:c r="A5" s="13" t="str">
        <x:v>层级</x:v>
      </x:c>
      <x:c r="B5" s="13" t="str">
        <x:v>定义</x:v>
      </x:c>
      <x:c r="C5" s="13" t="str">
        <x:v>用途</x:v>
      </x:c>
      <x:c r="D5" s="13" t="str">
        <x:v>建议事件</x:v>
      </x:c>
      <x:c r="E5" s="13" t="str">
        <x:v>数据源</x:v>
      </x:c>
      <x:c r="F5" s="13" t="str">
        <x:v>频率</x:v>
      </x:c>
      <x:c r="G5" s="13" t="str">
        <x:v>首月阈值</x:v>
      </x:c>
      <x:c r="H5" s="13" t="str">
        <x:v>备注</x:v>
      </x:c>
    </x:row>
    <x:row r="6" ht="44" customHeight="1">
      <x:c r="A6" s="17" t="str">
        <x:v>北极星</x:v>
      </x:c>
      <x:c r="B6" s="17" t="str">
        <x:v>每周完成第二个岗位版本的有效用户数</x:v>
      </x:c>
      <x:c r="C6" s="17" t="str">
        <x:v>验证“一岗一简历”复用价值</x:v>
      </x:c>
      <x:c r="D6" s="17" t="str">
        <x:v>second_job_created</x:v>
      </x:c>
      <x:c r="E6" s="17" t="str">
        <x:v>当前无完整埋点</x:v>
      </x:c>
      <x:c r="F6" s="17" t="str">
        <x:v>产品需实现</x:v>
      </x:c>
      <x:c r="G6" s="17" t="str"/>
      <x:c r="H6" s="17" t="str"/>
    </x:row>
    <x:row r="7" ht="44" customHeight="1">
      <x:c r="A7" s="17" t="str">
        <x:v>曝光</x:v>
      </x:c>
      <x:c r="B7" s="17" t="str">
        <x:v>曝光量/阅读量</x:v>
      </x:c>
      <x:c r="C7" s="17" t="str">
        <x:v>平台原生口径</x:v>
      </x:c>
      <x:c r="D7" s="17" t="str">
        <x:v>impressions/views</x:v>
      </x:c>
      <x:c r="E7" s="17" t="str">
        <x:v>平台</x:v>
      </x:c>
      <x:c r="F7" s="17" t="str">
        <x:v>每日</x:v>
      </x:c>
      <x:c r="G7" s="17" t="str"/>
      <x:c r="H7" s="17" t="str"/>
    </x:row>
    <x:row r="8" ht="44" customHeight="1">
      <x:c r="A8" s="17" t="str">
        <x:v>互动</x:v>
      </x:c>
      <x:c r="B8" s="17" t="str">
        <x:v>（赞+藏+评+分享）/阅读</x:v>
      </x:c>
      <x:c r="C8" s="17" t="str">
        <x:v>判断内容价值，不单看点赞</x:v>
      </x:c>
      <x:c r="D8" s="17" t="str">
        <x:v>engagement_rate</x:v>
      </x:c>
      <x:c r="E8" s="17" t="str">
        <x:v>公式</x:v>
      </x:c>
      <x:c r="F8" s="17" t="str">
        <x:v>每日</x:v>
      </x:c>
      <x:c r="G8" s="17" t="str">
        <x:v>5%</x:v>
      </x:c>
      <x:c r="H8" s="17" t="str">
        <x:v>内部假设</x:v>
      </x:c>
    </x:row>
    <x:row r="9" ht="44" customHeight="1">
      <x:c r="A9" s="17" t="str">
        <x:v>收藏</x:v>
      </x:c>
      <x:c r="B9" s="17" t="str">
        <x:v>收藏/阅读</x:v>
      </x:c>
      <x:c r="C9" s="17" t="str">
        <x:v>小红书知识内容价值信号</x:v>
      </x:c>
      <x:c r="D9" s="17" t="str">
        <x:v>save_rate</x:v>
      </x:c>
      <x:c r="E9" s="17" t="str">
        <x:v>公式</x:v>
      </x:c>
      <x:c r="F9" s="17" t="str">
        <x:v>每日</x:v>
      </x:c>
      <x:c r="G9" s="17" t="str">
        <x:v>2.5%</x:v>
      </x:c>
      <x:c r="H9" s="17" t="str">
        <x:v>内部假设</x:v>
      </x:c>
    </x:row>
    <x:row r="10" ht="44" customHeight="1">
      <x:c r="A10" s="17" t="str">
        <x:v>获客</x:v>
      </x:c>
      <x:c r="B10" s="17" t="str">
        <x:v>被识别为营销来源的新用户</x:v>
      </x:c>
      <x:c r="C10" s="17" t="str">
        <x:v>需要来源参数或站内线索映射</x:v>
      </x:c>
      <x:c r="D10" s="17" t="str">
        <x:v>user_acquired</x:v>
      </x:c>
      <x:c r="E10" s="17" t="str">
        <x:v>产品+平台</x:v>
      </x:c>
      <x:c r="F10" s="17" t="str">
        <x:v>每日</x:v>
      </x:c>
      <x:c r="G10" s="17" t="str"/>
      <x:c r="H10" s="17" t="str"/>
    </x:row>
    <x:row r="11" ht="44" customHeight="1">
      <x:c r="A11" s="17" t="str">
        <x:v>激活</x:v>
      </x:c>
      <x:c r="B11" s="17" t="str">
        <x:v>24小时内完成源简历+JD分析+岗位版本</x:v>
      </x:c>
      <x:c r="C11" s="17" t="str">
        <x:v>不是只打开页面</x:v>
      </x:c>
      <x:c r="D11" s="17" t="str">
        <x:v>first_resume_generated</x:v>
      </x:c>
      <x:c r="E11" s="17" t="str">
        <x:v>产品</x:v>
      </x:c>
      <x:c r="F11" s="17" t="str">
        <x:v>每日</x:v>
      </x:c>
      <x:c r="G11" s="17" t="str">
        <x:v>35%</x:v>
      </x:c>
      <x:c r="H11" s="17" t="str">
        <x:v>内部假设</x:v>
      </x:c>
    </x:row>
    <x:row r="12" ht="44" customHeight="1">
      <x:c r="A12" s="17" t="str">
        <x:v>留存</x:v>
      </x:c>
      <x:c r="B12" s="17" t="str">
        <x:v>D7/D30创建第二个岗位版本</x:v>
      </x:c>
      <x:c r="C12" s="17" t="str">
        <x:v>首批最重要价值指标</x:v>
      </x:c>
      <x:c r="D12" s="17" t="str">
        <x:v>second_job_created</x:v>
      </x:c>
      <x:c r="E12" s="17" t="str">
        <x:v>产品</x:v>
      </x:c>
      <x:c r="F12" s="17" t="str">
        <x:v>每周</x:v>
      </x:c>
      <x:c r="G12" s="17" t="str">
        <x:v>15% D7</x:v>
      </x:c>
      <x:c r="H12" s="17" t="str">
        <x:v>内部假设</x:v>
      </x:c>
    </x:row>
    <x:row r="13" ht="44" customHeight="1">
      <x:c r="A13" s="17" t="str">
        <x:v>付费</x:v>
      </x:c>
      <x:c r="B13" s="17" t="str">
        <x:v>激活后付费用户/激活用户</x:v>
      </x:c>
      <x:c r="C13" s="17" t="str">
        <x:v>定价与支付未确认</x:v>
      </x:c>
      <x:c r="D13" s="17" t="str">
        <x:v>paid_order</x:v>
      </x:c>
      <x:c r="E13" s="17" t="str">
        <x:v>支付</x:v>
      </x:c>
      <x:c r="F13" s="17" t="str">
        <x:v>每日</x:v>
      </x:c>
      <x:c r="G13" s="17" t="str">
        <x:v>待定</x:v>
      </x:c>
      <x:c r="H13" s="17" t="str">
        <x:v>暂不设</x:v>
      </x:c>
    </x:row>
    <x:row r="15">
      <x:c r="A15" s="21" t="str">
        <x:v>当前源码未发现完整用户Analytics；未接入事件前，产品行为指标必须标“数据不完整”，不能对外发布。</x:v>
      </x:c>
      <x:c r="B15" s="21"/>
      <x:c r="C15" s="21"/>
      <x:c r="D15" s="21"/>
      <x:c r="E15" s="21"/>
      <x:c r="F15" s="21"/>
      <x:c r="G15" s="21"/>
      <x:c r="H15" s="21"/>
    </x:row>
    <x:row r="16">
      <x:c r="A16" s="21"/>
      <x:c r="B16" s="21"/>
      <x:c r="C16" s="21"/>
      <x:c r="D16" s="21"/>
      <x:c r="E16" s="21"/>
      <x:c r="F16" s="21"/>
      <x:c r="G16" s="21"/>
      <x:c r="H16" s="21"/>
    </x:row>
  </x:sheetData>
  <x:mergeCells>
    <x:mergeCell ref="A1:H1"/>
    <x:mergeCell ref="A2:H2"/>
    <x:mergeCell ref="A15:H16"/>
  </x:mergeCells>
  <x:pageMargins left="0.7" right="0.7" top="0.75" bottom="0.75" header="0.3" footer="0.3"/>
  <x:tableParts count="1">
    <x:tablePart xmlns:r="http://schemas.openxmlformats.org/officeDocument/2006/relationships" r:id="Rb06a1aec92e342b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0" hidden="0" customWidth="1"/>
    <x:col min="4" max="4" width="12" hidden="0" customWidth="1"/>
    <x:col min="5" max="5" width="12" hidden="0" customWidth="1"/>
    <x:col min="6" max="6" width="12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4" hidden="0" customWidth="1"/>
    <x:col min="22" max="22" width="14" hidden="0" customWidth="1"/>
    <x:col min="23" max="23" width="12" hidden="0" customWidth="1"/>
    <x:col min="24" max="24" width="12" hidden="0" customWidth="1"/>
    <x:col min="25" max="25" width="12" hidden="0" customWidth="1"/>
    <x:col min="26" max="26" width="14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  <x:col min="32" max="32" width="12" hidden="0" customWidth="1"/>
  </x:cols>
  <x:sheetData>
    <x:row r="1" ht="34" customHeight="1">
      <x:c r="A1" s="3" t="str">
        <x:v>30天日数据输入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</x:row>
    <x:row r="2" ht="34" customHeight="1">
      <x:c r="A2" s="7" t="str">
        <x:v>周期：2026-08-17—2026-09-15｜C:V为输入｜W:AF为公式｜无数据请留空或填0，不得填估算值冒充实际。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</x:row>
    <x:row r="5" ht="30" customHeight="1">
      <x:c r="A5" s="13" t="str">
        <x:v>日期</x:v>
      </x:c>
      <x:c r="B5" s="13" t="str">
        <x:v>平台</x:v>
      </x:c>
      <x:c r="C5" s="13" t="str">
        <x:v>内容数</x:v>
      </x:c>
      <x:c r="D5" s="13" t="str">
        <x:v>花费</x:v>
      </x:c>
      <x:c r="E5" s="13" t="str">
        <x:v>曝光</x:v>
      </x:c>
      <x:c r="F5" s="13" t="str">
        <x:v>阅读/播放</x:v>
      </x:c>
      <x:c r="G5" s="13" t="str">
        <x:v>点赞</x:v>
      </x:c>
      <x:c r="H5" s="13" t="str">
        <x:v>收藏</x:v>
      </x:c>
      <x:c r="I5" s="13" t="str">
        <x:v>评论</x:v>
      </x:c>
      <x:c r="J5" s="13" t="str">
        <x:v>分享</x:v>
      </x:c>
      <x:c r="K5" s="13" t="str">
        <x:v>新增关注</x:v>
      </x:c>
      <x:c r="L5" s="13" t="str">
        <x:v>主页访问</x:v>
      </x:c>
      <x:c r="M5" s="13" t="str">
        <x:v>有效线索</x:v>
      </x:c>
      <x:c r="N5" s="13" t="str">
        <x:v>获客用户</x:v>
      </x:c>
      <x:c r="O5" s="13" t="str">
        <x:v>激活用户</x:v>
      </x:c>
      <x:c r="P5" s="13" t="str">
        <x:v>编辑用户</x:v>
      </x:c>
      <x:c r="Q5" s="13" t="str">
        <x:v>下载用户</x:v>
      </x:c>
      <x:c r="R5" s="13" t="str">
        <x:v>保存用户</x:v>
      </x:c>
      <x:c r="S5" s="13" t="str">
        <x:v>付费用户</x:v>
      </x:c>
      <x:c r="T5" s="13" t="str">
        <x:v>收入</x:v>
      </x:c>
      <x:c r="U5" s="13" t="str">
        <x:v>D7第二岗位</x:v>
      </x:c>
      <x:c r="V5" s="13" t="str">
        <x:v>D30第二岗位</x:v>
      </x:c>
      <x:c r="W5" s="13" t="str">
        <x:v>互动量</x:v>
      </x:c>
      <x:c r="X5" s="13" t="str">
        <x:v>互动率</x:v>
      </x:c>
      <x:c r="Y5" s="13" t="str">
        <x:v>收藏率</x:v>
      </x:c>
      <x:c r="Z5" s="13" t="str">
        <x:v>主页访问率</x:v>
      </x:c>
      <x:c r="AA5" s="13" t="str">
        <x:v>线索率</x:v>
      </x:c>
      <x:c r="AB5" s="13" t="str">
        <x:v>激活率</x:v>
      </x:c>
      <x:c r="AC5" s="13" t="str">
        <x:v>付费率</x:v>
      </x:c>
      <x:c r="AD5" s="13" t="str">
        <x:v>CAC</x:v>
      </x:c>
      <x:c r="AE5" s="13" t="str">
        <x:v>D7留存</x:v>
      </x:c>
      <x:c r="AF5" s="13" t="str">
        <x:v>ROI</x:v>
      </x:c>
    </x:row>
    <x:row r="6" ht="44" customHeight="1">
      <x:c r="A6" s="22" t="n">
        <x:v>46251</x:v>
      </x:c>
      <x:c r="B6" s="23" t="str">
        <x:v>小红书</x:v>
      </x:c>
      <x:c r="C6" s="23" t="n">
        <x:v>0</x:v>
      </x:c>
      <x:c r="D6" s="26" t="n">
        <x:v>0</x:v>
      </x:c>
      <x:c r="E6" s="23" t="n">
        <x:v>0</x:v>
      </x:c>
      <x:c r="F6" s="23" t="n">
        <x:v>0</x:v>
      </x:c>
      <x:c r="G6" s="23" t="n">
        <x:v>0</x:v>
      </x:c>
      <x:c r="H6" s="23" t="n">
        <x:v>0</x:v>
      </x:c>
      <x:c r="I6" s="23" t="n">
        <x:v>0</x:v>
      </x:c>
      <x:c r="J6" s="23" t="n">
        <x:v>0</x:v>
      </x:c>
      <x:c r="K6" s="23" t="n">
        <x:v>0</x:v>
      </x:c>
      <x:c r="L6" s="23" t="n">
        <x:v>0</x:v>
      </x:c>
      <x:c r="M6" s="23" t="n">
        <x:v>0</x:v>
      </x:c>
      <x:c r="N6" s="23" t="n">
        <x:v>0</x:v>
      </x:c>
      <x:c r="O6" s="23" t="n">
        <x:v>0</x:v>
      </x:c>
      <x:c r="P6" s="23" t="n">
        <x:v>0</x:v>
      </x:c>
      <x:c r="Q6" s="23" t="n">
        <x:v>0</x:v>
      </x:c>
      <x:c r="R6" s="23" t="n">
        <x:v>0</x:v>
      </x:c>
      <x:c r="S6" s="23" t="n">
        <x:v>0</x:v>
      </x:c>
      <x:c r="T6" s="26" t="n">
        <x:v>0</x:v>
      </x:c>
      <x:c r="U6" s="23" t="n">
        <x:v>0</x:v>
      </x:c>
      <x:c r="V6" s="23" t="n">
        <x:v>0</x:v>
      </x:c>
      <x:c r="W6" s="24" t="n">
        <x:f>SUM(G6:J6)</x:f>
        <x:v>0</x:v>
      </x:c>
      <x:c r="X6" s="25" t="n">
        <x:f>IFERROR(W6/F6,0)</x:f>
        <x:v>0</x:v>
      </x:c>
      <x:c r="Y6" s="25" t="n">
        <x:f>IFERROR(H6/F6,0)</x:f>
        <x:v>0</x:v>
      </x:c>
      <x:c r="Z6" s="25" t="n">
        <x:f>IFERROR(L6/F6,0)</x:f>
        <x:v>0</x:v>
      </x:c>
      <x:c r="AA6" s="25" t="n">
        <x:f>IFERROR(M6/L6,0)</x:f>
        <x:v>0</x:v>
      </x:c>
      <x:c r="AB6" s="25" t="n">
        <x:f>IFERROR(O6/N6,0)</x:f>
        <x:v>0</x:v>
      </x:c>
      <x:c r="AC6" s="25" t="n">
        <x:f>IFERROR(S6/O6,0)</x:f>
        <x:v>0</x:v>
      </x:c>
      <x:c r="AD6" s="27" t="n">
        <x:f>IFERROR(D6/N6,0)</x:f>
        <x:v>0</x:v>
      </x:c>
      <x:c r="AE6" s="25" t="n">
        <x:f>IFERROR(U6/O6,0)</x:f>
        <x:v>0</x:v>
      </x:c>
      <x:c r="AF6" s="25" t="n">
        <x:f>IFERROR((T6-D6)/D6,0)</x:f>
        <x:v>0</x:v>
      </x:c>
    </x:row>
    <x:row r="7" ht="44" customHeight="1">
      <x:c r="A7" s="22" t="n">
        <x:v>46252</x:v>
      </x:c>
      <x:c r="B7" s="23" t="str">
        <x:v>小红书</x:v>
      </x:c>
      <x:c r="C7" s="23" t="n">
        <x:v>0</x:v>
      </x:c>
      <x:c r="D7" s="26" t="n">
        <x:v>0</x:v>
      </x:c>
      <x:c r="E7" s="23" t="n">
        <x:v>0</x:v>
      </x:c>
      <x:c r="F7" s="23" t="n">
        <x:v>0</x:v>
      </x:c>
      <x:c r="G7" s="23" t="n">
        <x:v>0</x:v>
      </x:c>
      <x:c r="H7" s="23" t="n">
        <x:v>0</x:v>
      </x:c>
      <x:c r="I7" s="23" t="n">
        <x:v>0</x:v>
      </x:c>
      <x:c r="J7" s="23" t="n">
        <x:v>0</x:v>
      </x:c>
      <x:c r="K7" s="23" t="n">
        <x:v>0</x:v>
      </x:c>
      <x:c r="L7" s="23" t="n">
        <x:v>0</x:v>
      </x:c>
      <x:c r="M7" s="23" t="n">
        <x:v>0</x:v>
      </x:c>
      <x:c r="N7" s="23" t="n">
        <x:v>0</x:v>
      </x:c>
      <x:c r="O7" s="23" t="n">
        <x:v>0</x:v>
      </x:c>
      <x:c r="P7" s="23" t="n">
        <x:v>0</x:v>
      </x:c>
      <x:c r="Q7" s="23" t="n">
        <x:v>0</x:v>
      </x:c>
      <x:c r="R7" s="23" t="n">
        <x:v>0</x:v>
      </x:c>
      <x:c r="S7" s="23" t="n">
        <x:v>0</x:v>
      </x:c>
      <x:c r="T7" s="26" t="n">
        <x:v>0</x:v>
      </x:c>
      <x:c r="U7" s="23" t="n">
        <x:v>0</x:v>
      </x:c>
      <x:c r="V7" s="23" t="n">
        <x:v>0</x:v>
      </x:c>
      <x:c r="W7" s="24" t="n">
        <x:f>SUM(G7:J7)</x:f>
        <x:v>0</x:v>
      </x:c>
      <x:c r="X7" s="25" t="n">
        <x:f>IFERROR(W7/F7,0)</x:f>
        <x:v>0</x:v>
      </x:c>
      <x:c r="Y7" s="25" t="n">
        <x:f>IFERROR(H7/F7,0)</x:f>
        <x:v>0</x:v>
      </x:c>
      <x:c r="Z7" s="25" t="n">
        <x:f>IFERROR(L7/F7,0)</x:f>
        <x:v>0</x:v>
      </x:c>
      <x:c r="AA7" s="25" t="n">
        <x:f>IFERROR(M7/L7,0)</x:f>
        <x:v>0</x:v>
      </x:c>
      <x:c r="AB7" s="25" t="n">
        <x:f>IFERROR(O7/N7,0)</x:f>
        <x:v>0</x:v>
      </x:c>
      <x:c r="AC7" s="25" t="n">
        <x:f>IFERROR(S7/O7,0)</x:f>
        <x:v>0</x:v>
      </x:c>
      <x:c r="AD7" s="27" t="n">
        <x:f>IFERROR(D7/N7,0)</x:f>
        <x:v>0</x:v>
      </x:c>
      <x:c r="AE7" s="25" t="n">
        <x:f>IFERROR(U7/O7,0)</x:f>
        <x:v>0</x:v>
      </x:c>
      <x:c r="AF7" s="25" t="n">
        <x:f>IFERROR((T7-D7)/D7,0)</x:f>
        <x:v>0</x:v>
      </x:c>
    </x:row>
    <x:row r="8" ht="44" customHeight="1">
      <x:c r="A8" s="22" t="n">
        <x:v>46253</x:v>
      </x:c>
      <x:c r="B8" s="23" t="str">
        <x:v>小红书</x:v>
      </x:c>
      <x:c r="C8" s="23" t="n">
        <x:v>0</x:v>
      </x:c>
      <x:c r="D8" s="26" t="n">
        <x:v>0</x:v>
      </x:c>
      <x:c r="E8" s="23" t="n">
        <x:v>0</x:v>
      </x:c>
      <x:c r="F8" s="23" t="n">
        <x:v>0</x:v>
      </x:c>
      <x:c r="G8" s="23" t="n">
        <x:v>0</x:v>
      </x:c>
      <x:c r="H8" s="23" t="n">
        <x:v>0</x:v>
      </x:c>
      <x:c r="I8" s="23" t="n">
        <x:v>0</x:v>
      </x:c>
      <x:c r="J8" s="23" t="n">
        <x:v>0</x:v>
      </x:c>
      <x:c r="K8" s="23" t="n">
        <x:v>0</x:v>
      </x:c>
      <x:c r="L8" s="23" t="n">
        <x:v>0</x:v>
      </x:c>
      <x:c r="M8" s="23" t="n">
        <x:v>0</x:v>
      </x:c>
      <x:c r="N8" s="23" t="n">
        <x:v>0</x:v>
      </x:c>
      <x:c r="O8" s="23" t="n">
        <x:v>0</x:v>
      </x:c>
      <x:c r="P8" s="23" t="n">
        <x:v>0</x:v>
      </x:c>
      <x:c r="Q8" s="23" t="n">
        <x:v>0</x:v>
      </x:c>
      <x:c r="R8" s="23" t="n">
        <x:v>0</x:v>
      </x:c>
      <x:c r="S8" s="23" t="n">
        <x:v>0</x:v>
      </x:c>
      <x:c r="T8" s="26" t="n">
        <x:v>0</x:v>
      </x:c>
      <x:c r="U8" s="23" t="n">
        <x:v>0</x:v>
      </x:c>
      <x:c r="V8" s="23" t="n">
        <x:v>0</x:v>
      </x:c>
      <x:c r="W8" s="24" t="n">
        <x:f>SUM(G8:J8)</x:f>
        <x:v>0</x:v>
      </x:c>
      <x:c r="X8" s="25" t="n">
        <x:f>IFERROR(W8/F8,0)</x:f>
        <x:v>0</x:v>
      </x:c>
      <x:c r="Y8" s="25" t="n">
        <x:f>IFERROR(H8/F8,0)</x:f>
        <x:v>0</x:v>
      </x:c>
      <x:c r="Z8" s="25" t="n">
        <x:f>IFERROR(L8/F8,0)</x:f>
        <x:v>0</x:v>
      </x:c>
      <x:c r="AA8" s="25" t="n">
        <x:f>IFERROR(M8/L8,0)</x:f>
        <x:v>0</x:v>
      </x:c>
      <x:c r="AB8" s="25" t="n">
        <x:f>IFERROR(O8/N8,0)</x:f>
        <x:v>0</x:v>
      </x:c>
      <x:c r="AC8" s="25" t="n">
        <x:f>IFERROR(S8/O8,0)</x:f>
        <x:v>0</x:v>
      </x:c>
      <x:c r="AD8" s="27" t="n">
        <x:f>IFERROR(D8/N8,0)</x:f>
        <x:v>0</x:v>
      </x:c>
      <x:c r="AE8" s="25" t="n">
        <x:f>IFERROR(U8/O8,0)</x:f>
        <x:v>0</x:v>
      </x:c>
      <x:c r="AF8" s="25" t="n">
        <x:f>IFERROR((T8-D8)/D8,0)</x:f>
        <x:v>0</x:v>
      </x:c>
    </x:row>
    <x:row r="9" ht="44" customHeight="1">
      <x:c r="A9" s="22" t="n">
        <x:v>46254</x:v>
      </x:c>
      <x:c r="B9" s="23" t="str">
        <x:v>小红书</x:v>
      </x:c>
      <x:c r="C9" s="23" t="n">
        <x:v>0</x:v>
      </x:c>
      <x:c r="D9" s="26" t="n">
        <x:v>0</x:v>
      </x:c>
      <x:c r="E9" s="23" t="n">
        <x:v>0</x:v>
      </x:c>
      <x:c r="F9" s="23" t="n">
        <x:v>0</x:v>
      </x:c>
      <x:c r="G9" s="23" t="n">
        <x:v>0</x:v>
      </x:c>
      <x:c r="H9" s="23" t="n">
        <x:v>0</x:v>
      </x:c>
      <x:c r="I9" s="23" t="n">
        <x:v>0</x:v>
      </x:c>
      <x:c r="J9" s="23" t="n">
        <x:v>0</x:v>
      </x:c>
      <x:c r="K9" s="23" t="n">
        <x:v>0</x:v>
      </x:c>
      <x:c r="L9" s="23" t="n">
        <x:v>0</x:v>
      </x:c>
      <x:c r="M9" s="23" t="n">
        <x:v>0</x:v>
      </x:c>
      <x:c r="N9" s="23" t="n">
        <x:v>0</x:v>
      </x:c>
      <x:c r="O9" s="23" t="n">
        <x:v>0</x:v>
      </x:c>
      <x:c r="P9" s="23" t="n">
        <x:v>0</x:v>
      </x:c>
      <x:c r="Q9" s="23" t="n">
        <x:v>0</x:v>
      </x:c>
      <x:c r="R9" s="23" t="n">
        <x:v>0</x:v>
      </x:c>
      <x:c r="S9" s="23" t="n">
        <x:v>0</x:v>
      </x:c>
      <x:c r="T9" s="26" t="n">
        <x:v>0</x:v>
      </x:c>
      <x:c r="U9" s="23" t="n">
        <x:v>0</x:v>
      </x:c>
      <x:c r="V9" s="23" t="n">
        <x:v>0</x:v>
      </x:c>
      <x:c r="W9" s="24" t="n">
        <x:f>SUM(G9:J9)</x:f>
        <x:v>0</x:v>
      </x:c>
      <x:c r="X9" s="25" t="n">
        <x:f>IFERROR(W9/F9,0)</x:f>
        <x:v>0</x:v>
      </x:c>
      <x:c r="Y9" s="25" t="n">
        <x:f>IFERROR(H9/F9,0)</x:f>
        <x:v>0</x:v>
      </x:c>
      <x:c r="Z9" s="25" t="n">
        <x:f>IFERROR(L9/F9,0)</x:f>
        <x:v>0</x:v>
      </x:c>
      <x:c r="AA9" s="25" t="n">
        <x:f>IFERROR(M9/L9,0)</x:f>
        <x:v>0</x:v>
      </x:c>
      <x:c r="AB9" s="25" t="n">
        <x:f>IFERROR(O9/N9,0)</x:f>
        <x:v>0</x:v>
      </x:c>
      <x:c r="AC9" s="25" t="n">
        <x:f>IFERROR(S9/O9,0)</x:f>
        <x:v>0</x:v>
      </x:c>
      <x:c r="AD9" s="27" t="n">
        <x:f>IFERROR(D9/N9,0)</x:f>
        <x:v>0</x:v>
      </x:c>
      <x:c r="AE9" s="25" t="n">
        <x:f>IFERROR(U9/O9,0)</x:f>
        <x:v>0</x:v>
      </x:c>
      <x:c r="AF9" s="25" t="n">
        <x:f>IFERROR((T9-D9)/D9,0)</x:f>
        <x:v>0</x:v>
      </x:c>
    </x:row>
    <x:row r="10" ht="44" customHeight="1">
      <x:c r="A10" s="22" t="n">
        <x:v>46255</x:v>
      </x:c>
      <x:c r="B10" s="23" t="str">
        <x:v>小红书</x:v>
      </x:c>
      <x:c r="C10" s="23" t="n">
        <x:v>0</x:v>
      </x:c>
      <x:c r="D10" s="26" t="n">
        <x:v>0</x:v>
      </x:c>
      <x:c r="E10" s="23" t="n">
        <x:v>0</x:v>
      </x:c>
      <x:c r="F10" s="23" t="n">
        <x:v>0</x:v>
      </x:c>
      <x:c r="G10" s="23" t="n">
        <x:v>0</x:v>
      </x:c>
      <x:c r="H10" s="23" t="n">
        <x:v>0</x:v>
      </x:c>
      <x:c r="I10" s="23" t="n">
        <x:v>0</x:v>
      </x:c>
      <x:c r="J10" s="23" t="n">
        <x:v>0</x:v>
      </x:c>
      <x:c r="K10" s="23" t="n">
        <x:v>0</x:v>
      </x:c>
      <x:c r="L10" s="23" t="n">
        <x:v>0</x:v>
      </x:c>
      <x:c r="M10" s="23" t="n">
        <x:v>0</x:v>
      </x:c>
      <x:c r="N10" s="23" t="n">
        <x:v>0</x:v>
      </x:c>
      <x:c r="O10" s="23" t="n">
        <x:v>0</x:v>
      </x:c>
      <x:c r="P10" s="23" t="n">
        <x:v>0</x:v>
      </x:c>
      <x:c r="Q10" s="23" t="n">
        <x:v>0</x:v>
      </x:c>
      <x:c r="R10" s="23" t="n">
        <x:v>0</x:v>
      </x:c>
      <x:c r="S10" s="23" t="n">
        <x:v>0</x:v>
      </x:c>
      <x:c r="T10" s="26" t="n">
        <x:v>0</x:v>
      </x:c>
      <x:c r="U10" s="23" t="n">
        <x:v>0</x:v>
      </x:c>
      <x:c r="V10" s="23" t="n">
        <x:v>0</x:v>
      </x:c>
      <x:c r="W10" s="24" t="n">
        <x:f>SUM(G10:J10)</x:f>
        <x:v>0</x:v>
      </x:c>
      <x:c r="X10" s="25" t="n">
        <x:f>IFERROR(W10/F10,0)</x:f>
        <x:v>0</x:v>
      </x:c>
      <x:c r="Y10" s="25" t="n">
        <x:f>IFERROR(H10/F10,0)</x:f>
        <x:v>0</x:v>
      </x:c>
      <x:c r="Z10" s="25" t="n">
        <x:f>IFERROR(L10/F10,0)</x:f>
        <x:v>0</x:v>
      </x:c>
      <x:c r="AA10" s="25" t="n">
        <x:f>IFERROR(M10/L10,0)</x:f>
        <x:v>0</x:v>
      </x:c>
      <x:c r="AB10" s="25" t="n">
        <x:f>IFERROR(O10/N10,0)</x:f>
        <x:v>0</x:v>
      </x:c>
      <x:c r="AC10" s="25" t="n">
        <x:f>IFERROR(S10/O10,0)</x:f>
        <x:v>0</x:v>
      </x:c>
      <x:c r="AD10" s="27" t="n">
        <x:f>IFERROR(D10/N10,0)</x:f>
        <x:v>0</x:v>
      </x:c>
      <x:c r="AE10" s="25" t="n">
        <x:f>IFERROR(U10/O10,0)</x:f>
        <x:v>0</x:v>
      </x:c>
      <x:c r="AF10" s="25" t="n">
        <x:f>IFERROR((T10-D10)/D10,0)</x:f>
        <x:v>0</x:v>
      </x:c>
    </x:row>
    <x:row r="11" ht="44" customHeight="1">
      <x:c r="A11" s="22" t="n">
        <x:v>46256</x:v>
      </x:c>
      <x:c r="B11" s="23" t="str">
        <x:v>小红书</x:v>
      </x:c>
      <x:c r="C11" s="23" t="n">
        <x:v>0</x:v>
      </x:c>
      <x:c r="D11" s="26" t="n">
        <x:v>0</x:v>
      </x:c>
      <x:c r="E11" s="23" t="n">
        <x:v>0</x:v>
      </x:c>
      <x:c r="F11" s="23" t="n">
        <x:v>0</x:v>
      </x:c>
      <x:c r="G11" s="23" t="n">
        <x:v>0</x:v>
      </x:c>
      <x:c r="H11" s="23" t="n">
        <x:v>0</x:v>
      </x:c>
      <x:c r="I11" s="23" t="n">
        <x:v>0</x:v>
      </x:c>
      <x:c r="J11" s="23" t="n">
        <x:v>0</x:v>
      </x:c>
      <x:c r="K11" s="23" t="n">
        <x:v>0</x:v>
      </x:c>
      <x:c r="L11" s="23" t="n">
        <x:v>0</x:v>
      </x:c>
      <x:c r="M11" s="23" t="n">
        <x:v>0</x:v>
      </x:c>
      <x:c r="N11" s="23" t="n">
        <x:v>0</x:v>
      </x:c>
      <x:c r="O11" s="23" t="n">
        <x:v>0</x:v>
      </x:c>
      <x:c r="P11" s="23" t="n">
        <x:v>0</x:v>
      </x:c>
      <x:c r="Q11" s="23" t="n">
        <x:v>0</x:v>
      </x:c>
      <x:c r="R11" s="23" t="n">
        <x:v>0</x:v>
      </x:c>
      <x:c r="S11" s="23" t="n">
        <x:v>0</x:v>
      </x:c>
      <x:c r="T11" s="26" t="n">
        <x:v>0</x:v>
      </x:c>
      <x:c r="U11" s="23" t="n">
        <x:v>0</x:v>
      </x:c>
      <x:c r="V11" s="23" t="n">
        <x:v>0</x:v>
      </x:c>
      <x:c r="W11" s="24" t="n">
        <x:f>SUM(G11:J11)</x:f>
        <x:v>0</x:v>
      </x:c>
      <x:c r="X11" s="25" t="n">
        <x:f>IFERROR(W11/F11,0)</x:f>
        <x:v>0</x:v>
      </x:c>
      <x:c r="Y11" s="25" t="n">
        <x:f>IFERROR(H11/F11,0)</x:f>
        <x:v>0</x:v>
      </x:c>
      <x:c r="Z11" s="25" t="n">
        <x:f>IFERROR(L11/F11,0)</x:f>
        <x:v>0</x:v>
      </x:c>
      <x:c r="AA11" s="25" t="n">
        <x:f>IFERROR(M11/L11,0)</x:f>
        <x:v>0</x:v>
      </x:c>
      <x:c r="AB11" s="25" t="n">
        <x:f>IFERROR(O11/N11,0)</x:f>
        <x:v>0</x:v>
      </x:c>
      <x:c r="AC11" s="25" t="n">
        <x:f>IFERROR(S11/O11,0)</x:f>
        <x:v>0</x:v>
      </x:c>
      <x:c r="AD11" s="27" t="n">
        <x:f>IFERROR(D11/N11,0)</x:f>
        <x:v>0</x:v>
      </x:c>
      <x:c r="AE11" s="25" t="n">
        <x:f>IFERROR(U11/O11,0)</x:f>
        <x:v>0</x:v>
      </x:c>
      <x:c r="AF11" s="25" t="n">
        <x:f>IFERROR((T11-D11)/D11,0)</x:f>
        <x:v>0</x:v>
      </x:c>
    </x:row>
    <x:row r="12" ht="44" customHeight="1">
      <x:c r="A12" s="22" t="n">
        <x:v>46257</x:v>
      </x:c>
      <x:c r="B12" s="23" t="str">
        <x:v>小红书</x:v>
      </x:c>
      <x:c r="C12" s="23" t="n">
        <x:v>0</x:v>
      </x:c>
      <x:c r="D12" s="26" t="n">
        <x:v>0</x:v>
      </x:c>
      <x:c r="E12" s="23" t="n">
        <x:v>0</x:v>
      </x:c>
      <x:c r="F12" s="23" t="n">
        <x:v>0</x:v>
      </x:c>
      <x:c r="G12" s="23" t="n">
        <x:v>0</x:v>
      </x:c>
      <x:c r="H12" s="23" t="n">
        <x:v>0</x:v>
      </x:c>
      <x:c r="I12" s="23" t="n">
        <x:v>0</x:v>
      </x:c>
      <x:c r="J12" s="23" t="n">
        <x:v>0</x:v>
      </x:c>
      <x:c r="K12" s="23" t="n">
        <x:v>0</x:v>
      </x:c>
      <x:c r="L12" s="23" t="n">
        <x:v>0</x:v>
      </x:c>
      <x:c r="M12" s="23" t="n">
        <x:v>0</x:v>
      </x:c>
      <x:c r="N12" s="23" t="n">
        <x:v>0</x:v>
      </x:c>
      <x:c r="O12" s="23" t="n">
        <x:v>0</x:v>
      </x:c>
      <x:c r="P12" s="23" t="n">
        <x:v>0</x:v>
      </x:c>
      <x:c r="Q12" s="23" t="n">
        <x:v>0</x:v>
      </x:c>
      <x:c r="R12" s="23" t="n">
        <x:v>0</x:v>
      </x:c>
      <x:c r="S12" s="23" t="n">
        <x:v>0</x:v>
      </x:c>
      <x:c r="T12" s="26" t="n">
        <x:v>0</x:v>
      </x:c>
      <x:c r="U12" s="23" t="n">
        <x:v>0</x:v>
      </x:c>
      <x:c r="V12" s="23" t="n">
        <x:v>0</x:v>
      </x:c>
      <x:c r="W12" s="24" t="n">
        <x:f>SUM(G12:J12)</x:f>
        <x:v>0</x:v>
      </x:c>
      <x:c r="X12" s="25" t="n">
        <x:f>IFERROR(W12/F12,0)</x:f>
        <x:v>0</x:v>
      </x:c>
      <x:c r="Y12" s="25" t="n">
        <x:f>IFERROR(H12/F12,0)</x:f>
        <x:v>0</x:v>
      </x:c>
      <x:c r="Z12" s="25" t="n">
        <x:f>IFERROR(L12/F12,0)</x:f>
        <x:v>0</x:v>
      </x:c>
      <x:c r="AA12" s="25" t="n">
        <x:f>IFERROR(M12/L12,0)</x:f>
        <x:v>0</x:v>
      </x:c>
      <x:c r="AB12" s="25" t="n">
        <x:f>IFERROR(O12/N12,0)</x:f>
        <x:v>0</x:v>
      </x:c>
      <x:c r="AC12" s="25" t="n">
        <x:f>IFERROR(S12/O12,0)</x:f>
        <x:v>0</x:v>
      </x:c>
      <x:c r="AD12" s="27" t="n">
        <x:f>IFERROR(D12/N12,0)</x:f>
        <x:v>0</x:v>
      </x:c>
      <x:c r="AE12" s="25" t="n">
        <x:f>IFERROR(U12/O12,0)</x:f>
        <x:v>0</x:v>
      </x:c>
      <x:c r="AF12" s="25" t="n">
        <x:f>IFERROR((T12-D12)/D12,0)</x:f>
        <x:v>0</x:v>
      </x:c>
    </x:row>
    <x:row r="13" ht="44" customHeight="1">
      <x:c r="A13" s="22" t="n">
        <x:v>46258</x:v>
      </x:c>
      <x:c r="B13" s="23" t="str">
        <x:v>小红书</x:v>
      </x:c>
      <x:c r="C13" s="23" t="n">
        <x:v>0</x:v>
      </x:c>
      <x:c r="D13" s="26" t="n">
        <x:v>0</x:v>
      </x:c>
      <x:c r="E13" s="23" t="n">
        <x:v>0</x:v>
      </x:c>
      <x:c r="F13" s="23" t="n">
        <x:v>0</x:v>
      </x:c>
      <x:c r="G13" s="23" t="n">
        <x:v>0</x:v>
      </x:c>
      <x:c r="H13" s="23" t="n">
        <x:v>0</x:v>
      </x:c>
      <x:c r="I13" s="23" t="n">
        <x:v>0</x:v>
      </x:c>
      <x:c r="J13" s="23" t="n">
        <x:v>0</x:v>
      </x:c>
      <x:c r="K13" s="23" t="n">
        <x:v>0</x:v>
      </x:c>
      <x:c r="L13" s="23" t="n">
        <x:v>0</x:v>
      </x:c>
      <x:c r="M13" s="23" t="n">
        <x:v>0</x:v>
      </x:c>
      <x:c r="N13" s="23" t="n">
        <x:v>0</x:v>
      </x:c>
      <x:c r="O13" s="23" t="n">
        <x:v>0</x:v>
      </x:c>
      <x:c r="P13" s="23" t="n">
        <x:v>0</x:v>
      </x:c>
      <x:c r="Q13" s="23" t="n">
        <x:v>0</x:v>
      </x:c>
      <x:c r="R13" s="23" t="n">
        <x:v>0</x:v>
      </x:c>
      <x:c r="S13" s="23" t="n">
        <x:v>0</x:v>
      </x:c>
      <x:c r="T13" s="26" t="n">
        <x:v>0</x:v>
      </x:c>
      <x:c r="U13" s="23" t="n">
        <x:v>0</x:v>
      </x:c>
      <x:c r="V13" s="23" t="n">
        <x:v>0</x:v>
      </x:c>
      <x:c r="W13" s="24" t="n">
        <x:f>SUM(G13:J13)</x:f>
        <x:v>0</x:v>
      </x:c>
      <x:c r="X13" s="25" t="n">
        <x:f>IFERROR(W13/F13,0)</x:f>
        <x:v>0</x:v>
      </x:c>
      <x:c r="Y13" s="25" t="n">
        <x:f>IFERROR(H13/F13,0)</x:f>
        <x:v>0</x:v>
      </x:c>
      <x:c r="Z13" s="25" t="n">
        <x:f>IFERROR(L13/F13,0)</x:f>
        <x:v>0</x:v>
      </x:c>
      <x:c r="AA13" s="25" t="n">
        <x:f>IFERROR(M13/L13,0)</x:f>
        <x:v>0</x:v>
      </x:c>
      <x:c r="AB13" s="25" t="n">
        <x:f>IFERROR(O13/N13,0)</x:f>
        <x:v>0</x:v>
      </x:c>
      <x:c r="AC13" s="25" t="n">
        <x:f>IFERROR(S13/O13,0)</x:f>
        <x:v>0</x:v>
      </x:c>
      <x:c r="AD13" s="27" t="n">
        <x:f>IFERROR(D13/N13,0)</x:f>
        <x:v>0</x:v>
      </x:c>
      <x:c r="AE13" s="25" t="n">
        <x:f>IFERROR(U13/O13,0)</x:f>
        <x:v>0</x:v>
      </x:c>
      <x:c r="AF13" s="25" t="n">
        <x:f>IFERROR((T13-D13)/D13,0)</x:f>
        <x:v>0</x:v>
      </x:c>
    </x:row>
    <x:row r="14" ht="44" customHeight="1">
      <x:c r="A14" s="22" t="n">
        <x:v>46259</x:v>
      </x:c>
      <x:c r="B14" s="23" t="str">
        <x:v>小红书</x:v>
      </x:c>
      <x:c r="C14" s="23" t="n">
        <x:v>0</x:v>
      </x:c>
      <x:c r="D14" s="26" t="n">
        <x:v>0</x:v>
      </x:c>
      <x:c r="E14" s="23" t="n">
        <x:v>0</x:v>
      </x:c>
      <x:c r="F14" s="23" t="n">
        <x:v>0</x:v>
      </x:c>
      <x:c r="G14" s="23" t="n">
        <x:v>0</x:v>
      </x:c>
      <x:c r="H14" s="23" t="n">
        <x:v>0</x:v>
      </x:c>
      <x:c r="I14" s="23" t="n">
        <x:v>0</x:v>
      </x:c>
      <x:c r="J14" s="23" t="n">
        <x:v>0</x:v>
      </x:c>
      <x:c r="K14" s="23" t="n">
        <x:v>0</x:v>
      </x:c>
      <x:c r="L14" s="23" t="n">
        <x:v>0</x:v>
      </x:c>
      <x:c r="M14" s="23" t="n">
        <x:v>0</x:v>
      </x:c>
      <x:c r="N14" s="23" t="n">
        <x:v>0</x:v>
      </x:c>
      <x:c r="O14" s="23" t="n">
        <x:v>0</x:v>
      </x:c>
      <x:c r="P14" s="23" t="n">
        <x:v>0</x:v>
      </x:c>
      <x:c r="Q14" s="23" t="n">
        <x:v>0</x:v>
      </x:c>
      <x:c r="R14" s="23" t="n">
        <x:v>0</x:v>
      </x:c>
      <x:c r="S14" s="23" t="n">
        <x:v>0</x:v>
      </x:c>
      <x:c r="T14" s="26" t="n">
        <x:v>0</x:v>
      </x:c>
      <x:c r="U14" s="23" t="n">
        <x:v>0</x:v>
      </x:c>
      <x:c r="V14" s="23" t="n">
        <x:v>0</x:v>
      </x:c>
      <x:c r="W14" s="24" t="n">
        <x:f>SUM(G14:J14)</x:f>
        <x:v>0</x:v>
      </x:c>
      <x:c r="X14" s="25" t="n">
        <x:f>IFERROR(W14/F14,0)</x:f>
        <x:v>0</x:v>
      </x:c>
      <x:c r="Y14" s="25" t="n">
        <x:f>IFERROR(H14/F14,0)</x:f>
        <x:v>0</x:v>
      </x:c>
      <x:c r="Z14" s="25" t="n">
        <x:f>IFERROR(L14/F14,0)</x:f>
        <x:v>0</x:v>
      </x:c>
      <x:c r="AA14" s="25" t="n">
        <x:f>IFERROR(M14/L14,0)</x:f>
        <x:v>0</x:v>
      </x:c>
      <x:c r="AB14" s="25" t="n">
        <x:f>IFERROR(O14/N14,0)</x:f>
        <x:v>0</x:v>
      </x:c>
      <x:c r="AC14" s="25" t="n">
        <x:f>IFERROR(S14/O14,0)</x:f>
        <x:v>0</x:v>
      </x:c>
      <x:c r="AD14" s="27" t="n">
        <x:f>IFERROR(D14/N14,0)</x:f>
        <x:v>0</x:v>
      </x:c>
      <x:c r="AE14" s="25" t="n">
        <x:f>IFERROR(U14/O14,0)</x:f>
        <x:v>0</x:v>
      </x:c>
      <x:c r="AF14" s="25" t="n">
        <x:f>IFERROR((T14-D14)/D14,0)</x:f>
        <x:v>0</x:v>
      </x:c>
    </x:row>
    <x:row r="15" ht="44" customHeight="1">
      <x:c r="A15" s="22" t="n">
        <x:v>46260</x:v>
      </x:c>
      <x:c r="B15" s="23" t="str">
        <x:v>小红书</x:v>
      </x:c>
      <x:c r="C15" s="23" t="n">
        <x:v>0</x:v>
      </x:c>
      <x:c r="D15" s="26" t="n">
        <x:v>0</x:v>
      </x:c>
      <x:c r="E15" s="23" t="n">
        <x:v>0</x:v>
      </x:c>
      <x:c r="F15" s="23" t="n">
        <x:v>0</x:v>
      </x:c>
      <x:c r="G15" s="23" t="n">
        <x:v>0</x:v>
      </x:c>
      <x:c r="H15" s="23" t="n">
        <x:v>0</x:v>
      </x:c>
      <x:c r="I15" s="23" t="n">
        <x:v>0</x:v>
      </x:c>
      <x:c r="J15" s="23" t="n">
        <x:v>0</x:v>
      </x:c>
      <x:c r="K15" s="23" t="n">
        <x:v>0</x:v>
      </x:c>
      <x:c r="L15" s="23" t="n">
        <x:v>0</x:v>
      </x:c>
      <x:c r="M15" s="23" t="n">
        <x:v>0</x:v>
      </x:c>
      <x:c r="N15" s="23" t="n">
        <x:v>0</x:v>
      </x:c>
      <x:c r="O15" s="23" t="n">
        <x:v>0</x:v>
      </x:c>
      <x:c r="P15" s="23" t="n">
        <x:v>0</x:v>
      </x:c>
      <x:c r="Q15" s="23" t="n">
        <x:v>0</x:v>
      </x:c>
      <x:c r="R15" s="23" t="n">
        <x:v>0</x:v>
      </x:c>
      <x:c r="S15" s="23" t="n">
        <x:v>0</x:v>
      </x:c>
      <x:c r="T15" s="26" t="n">
        <x:v>0</x:v>
      </x:c>
      <x:c r="U15" s="23" t="n">
        <x:v>0</x:v>
      </x:c>
      <x:c r="V15" s="23" t="n">
        <x:v>0</x:v>
      </x:c>
      <x:c r="W15" s="24" t="n">
        <x:f>SUM(G15:J15)</x:f>
        <x:v>0</x:v>
      </x:c>
      <x:c r="X15" s="25" t="n">
        <x:f>IFERROR(W15/F15,0)</x:f>
        <x:v>0</x:v>
      </x:c>
      <x:c r="Y15" s="25" t="n">
        <x:f>IFERROR(H15/F15,0)</x:f>
        <x:v>0</x:v>
      </x:c>
      <x:c r="Z15" s="25" t="n">
        <x:f>IFERROR(L15/F15,0)</x:f>
        <x:v>0</x:v>
      </x:c>
      <x:c r="AA15" s="25" t="n">
        <x:f>IFERROR(M15/L15,0)</x:f>
        <x:v>0</x:v>
      </x:c>
      <x:c r="AB15" s="25" t="n">
        <x:f>IFERROR(O15/N15,0)</x:f>
        <x:v>0</x:v>
      </x:c>
      <x:c r="AC15" s="25" t="n">
        <x:f>IFERROR(S15/O15,0)</x:f>
        <x:v>0</x:v>
      </x:c>
      <x:c r="AD15" s="27" t="n">
        <x:f>IFERROR(D15/N15,0)</x:f>
        <x:v>0</x:v>
      </x:c>
      <x:c r="AE15" s="25" t="n">
        <x:f>IFERROR(U15/O15,0)</x:f>
        <x:v>0</x:v>
      </x:c>
      <x:c r="AF15" s="25" t="n">
        <x:f>IFERROR((T15-D15)/D15,0)</x:f>
        <x:v>0</x:v>
      </x:c>
    </x:row>
    <x:row r="16" ht="44" customHeight="1">
      <x:c r="A16" s="22" t="n">
        <x:v>46261</x:v>
      </x:c>
      <x:c r="B16" s="23" t="str">
        <x:v>小红书</x:v>
      </x:c>
      <x:c r="C16" s="23" t="n">
        <x:v>0</x:v>
      </x:c>
      <x:c r="D16" s="26" t="n">
        <x:v>0</x:v>
      </x:c>
      <x:c r="E16" s="23" t="n">
        <x:v>0</x:v>
      </x:c>
      <x:c r="F16" s="23" t="n">
        <x:v>0</x:v>
      </x:c>
      <x:c r="G16" s="23" t="n">
        <x:v>0</x:v>
      </x:c>
      <x:c r="H16" s="23" t="n">
        <x:v>0</x:v>
      </x:c>
      <x:c r="I16" s="23" t="n">
        <x:v>0</x:v>
      </x:c>
      <x:c r="J16" s="23" t="n">
        <x:v>0</x:v>
      </x:c>
      <x:c r="K16" s="23" t="n">
        <x:v>0</x:v>
      </x:c>
      <x:c r="L16" s="23" t="n">
        <x:v>0</x:v>
      </x:c>
      <x:c r="M16" s="23" t="n">
        <x:v>0</x:v>
      </x:c>
      <x:c r="N16" s="23" t="n">
        <x:v>0</x:v>
      </x:c>
      <x:c r="O16" s="23" t="n">
        <x:v>0</x:v>
      </x:c>
      <x:c r="P16" s="23" t="n">
        <x:v>0</x:v>
      </x:c>
      <x:c r="Q16" s="23" t="n">
        <x:v>0</x:v>
      </x:c>
      <x:c r="R16" s="23" t="n">
        <x:v>0</x:v>
      </x:c>
      <x:c r="S16" s="23" t="n">
        <x:v>0</x:v>
      </x:c>
      <x:c r="T16" s="26" t="n">
        <x:v>0</x:v>
      </x:c>
      <x:c r="U16" s="23" t="n">
        <x:v>0</x:v>
      </x:c>
      <x:c r="V16" s="23" t="n">
        <x:v>0</x:v>
      </x:c>
      <x:c r="W16" s="24" t="n">
        <x:f>SUM(G16:J16)</x:f>
        <x:v>0</x:v>
      </x:c>
      <x:c r="X16" s="25" t="n">
        <x:f>IFERROR(W16/F16,0)</x:f>
        <x:v>0</x:v>
      </x:c>
      <x:c r="Y16" s="25" t="n">
        <x:f>IFERROR(H16/F16,0)</x:f>
        <x:v>0</x:v>
      </x:c>
      <x:c r="Z16" s="25" t="n">
        <x:f>IFERROR(L16/F16,0)</x:f>
        <x:v>0</x:v>
      </x:c>
      <x:c r="AA16" s="25" t="n">
        <x:f>IFERROR(M16/L16,0)</x:f>
        <x:v>0</x:v>
      </x:c>
      <x:c r="AB16" s="25" t="n">
        <x:f>IFERROR(O16/N16,0)</x:f>
        <x:v>0</x:v>
      </x:c>
      <x:c r="AC16" s="25" t="n">
        <x:f>IFERROR(S16/O16,0)</x:f>
        <x:v>0</x:v>
      </x:c>
      <x:c r="AD16" s="27" t="n">
        <x:f>IFERROR(D16/N16,0)</x:f>
        <x:v>0</x:v>
      </x:c>
      <x:c r="AE16" s="25" t="n">
        <x:f>IFERROR(U16/O16,0)</x:f>
        <x:v>0</x:v>
      </x:c>
      <x:c r="AF16" s="25" t="n">
        <x:f>IFERROR((T16-D16)/D16,0)</x:f>
        <x:v>0</x:v>
      </x:c>
    </x:row>
    <x:row r="17" ht="44" customHeight="1">
      <x:c r="A17" s="22" t="n">
        <x:v>46262</x:v>
      </x:c>
      <x:c r="B17" s="23" t="str">
        <x:v>小红书</x:v>
      </x:c>
      <x:c r="C17" s="23" t="n">
        <x:v>0</x:v>
      </x:c>
      <x:c r="D17" s="26" t="n">
        <x:v>0</x:v>
      </x:c>
      <x:c r="E17" s="23" t="n">
        <x:v>0</x:v>
      </x:c>
      <x:c r="F17" s="23" t="n">
        <x:v>0</x:v>
      </x:c>
      <x:c r="G17" s="23" t="n">
        <x:v>0</x:v>
      </x:c>
      <x:c r="H17" s="23" t="n">
        <x:v>0</x:v>
      </x:c>
      <x:c r="I17" s="23" t="n">
        <x:v>0</x:v>
      </x:c>
      <x:c r="J17" s="23" t="n">
        <x:v>0</x:v>
      </x:c>
      <x:c r="K17" s="23" t="n">
        <x:v>0</x:v>
      </x:c>
      <x:c r="L17" s="23" t="n">
        <x:v>0</x:v>
      </x:c>
      <x:c r="M17" s="23" t="n">
        <x:v>0</x:v>
      </x:c>
      <x:c r="N17" s="23" t="n">
        <x:v>0</x:v>
      </x:c>
      <x:c r="O17" s="23" t="n">
        <x:v>0</x:v>
      </x:c>
      <x:c r="P17" s="23" t="n">
        <x:v>0</x:v>
      </x:c>
      <x:c r="Q17" s="23" t="n">
        <x:v>0</x:v>
      </x:c>
      <x:c r="R17" s="23" t="n">
        <x:v>0</x:v>
      </x:c>
      <x:c r="S17" s="23" t="n">
        <x:v>0</x:v>
      </x:c>
      <x:c r="T17" s="26" t="n">
        <x:v>0</x:v>
      </x:c>
      <x:c r="U17" s="23" t="n">
        <x:v>0</x:v>
      </x:c>
      <x:c r="V17" s="23" t="n">
        <x:v>0</x:v>
      </x:c>
      <x:c r="W17" s="24" t="n">
        <x:f>SUM(G17:J17)</x:f>
        <x:v>0</x:v>
      </x:c>
      <x:c r="X17" s="25" t="n">
        <x:f>IFERROR(W17/F17,0)</x:f>
        <x:v>0</x:v>
      </x:c>
      <x:c r="Y17" s="25" t="n">
        <x:f>IFERROR(H17/F17,0)</x:f>
        <x:v>0</x:v>
      </x:c>
      <x:c r="Z17" s="25" t="n">
        <x:f>IFERROR(L17/F17,0)</x:f>
        <x:v>0</x:v>
      </x:c>
      <x:c r="AA17" s="25" t="n">
        <x:f>IFERROR(M17/L17,0)</x:f>
        <x:v>0</x:v>
      </x:c>
      <x:c r="AB17" s="25" t="n">
        <x:f>IFERROR(O17/N17,0)</x:f>
        <x:v>0</x:v>
      </x:c>
      <x:c r="AC17" s="25" t="n">
        <x:f>IFERROR(S17/O17,0)</x:f>
        <x:v>0</x:v>
      </x:c>
      <x:c r="AD17" s="27" t="n">
        <x:f>IFERROR(D17/N17,0)</x:f>
        <x:v>0</x:v>
      </x:c>
      <x:c r="AE17" s="25" t="n">
        <x:f>IFERROR(U17/O17,0)</x:f>
        <x:v>0</x:v>
      </x:c>
      <x:c r="AF17" s="25" t="n">
        <x:f>IFERROR((T17-D17)/D17,0)</x:f>
        <x:v>0</x:v>
      </x:c>
    </x:row>
    <x:row r="18" ht="44" customHeight="1">
      <x:c r="A18" s="22" t="n">
        <x:v>46263</x:v>
      </x:c>
      <x:c r="B18" s="23" t="str">
        <x:v>小红书</x:v>
      </x:c>
      <x:c r="C18" s="23" t="n">
        <x:v>0</x:v>
      </x:c>
      <x:c r="D18" s="26" t="n">
        <x:v>0</x:v>
      </x:c>
      <x:c r="E18" s="23" t="n">
        <x:v>0</x:v>
      </x:c>
      <x:c r="F18" s="23" t="n">
        <x:v>0</x:v>
      </x:c>
      <x:c r="G18" s="23" t="n">
        <x:v>0</x:v>
      </x:c>
      <x:c r="H18" s="23" t="n">
        <x:v>0</x:v>
      </x:c>
      <x:c r="I18" s="23" t="n">
        <x:v>0</x:v>
      </x:c>
      <x:c r="J18" s="23" t="n">
        <x:v>0</x:v>
      </x:c>
      <x:c r="K18" s="23" t="n">
        <x:v>0</x:v>
      </x:c>
      <x:c r="L18" s="23" t="n">
        <x:v>0</x:v>
      </x:c>
      <x:c r="M18" s="23" t="n">
        <x:v>0</x:v>
      </x:c>
      <x:c r="N18" s="23" t="n">
        <x:v>0</x:v>
      </x:c>
      <x:c r="O18" s="23" t="n">
        <x:v>0</x:v>
      </x:c>
      <x:c r="P18" s="23" t="n">
        <x:v>0</x:v>
      </x:c>
      <x:c r="Q18" s="23" t="n">
        <x:v>0</x:v>
      </x:c>
      <x:c r="R18" s="23" t="n">
        <x:v>0</x:v>
      </x:c>
      <x:c r="S18" s="23" t="n">
        <x:v>0</x:v>
      </x:c>
      <x:c r="T18" s="26" t="n">
        <x:v>0</x:v>
      </x:c>
      <x:c r="U18" s="23" t="n">
        <x:v>0</x:v>
      </x:c>
      <x:c r="V18" s="23" t="n">
        <x:v>0</x:v>
      </x:c>
      <x:c r="W18" s="24" t="n">
        <x:f>SUM(G18:J18)</x:f>
        <x:v>0</x:v>
      </x:c>
      <x:c r="X18" s="25" t="n">
        <x:f>IFERROR(W18/F18,0)</x:f>
        <x:v>0</x:v>
      </x:c>
      <x:c r="Y18" s="25" t="n">
        <x:f>IFERROR(H18/F18,0)</x:f>
        <x:v>0</x:v>
      </x:c>
      <x:c r="Z18" s="25" t="n">
        <x:f>IFERROR(L18/F18,0)</x:f>
        <x:v>0</x:v>
      </x:c>
      <x:c r="AA18" s="25" t="n">
        <x:f>IFERROR(M18/L18,0)</x:f>
        <x:v>0</x:v>
      </x:c>
      <x:c r="AB18" s="25" t="n">
        <x:f>IFERROR(O18/N18,0)</x:f>
        <x:v>0</x:v>
      </x:c>
      <x:c r="AC18" s="25" t="n">
        <x:f>IFERROR(S18/O18,0)</x:f>
        <x:v>0</x:v>
      </x:c>
      <x:c r="AD18" s="27" t="n">
        <x:f>IFERROR(D18/N18,0)</x:f>
        <x:v>0</x:v>
      </x:c>
      <x:c r="AE18" s="25" t="n">
        <x:f>IFERROR(U18/O18,0)</x:f>
        <x:v>0</x:v>
      </x:c>
      <x:c r="AF18" s="25" t="n">
        <x:f>IFERROR((T18-D18)/D18,0)</x:f>
        <x:v>0</x:v>
      </x:c>
    </x:row>
    <x:row r="19" ht="44" customHeight="1">
      <x:c r="A19" s="22" t="n">
        <x:v>46264</x:v>
      </x:c>
      <x:c r="B19" s="23" t="str">
        <x:v>小红书</x:v>
      </x:c>
      <x:c r="C19" s="23" t="n">
        <x:v>0</x:v>
      </x:c>
      <x:c r="D19" s="26" t="n">
        <x:v>0</x:v>
      </x:c>
      <x:c r="E19" s="23" t="n">
        <x:v>0</x:v>
      </x:c>
      <x:c r="F19" s="23" t="n">
        <x:v>0</x:v>
      </x:c>
      <x:c r="G19" s="23" t="n">
        <x:v>0</x:v>
      </x:c>
      <x:c r="H19" s="23" t="n">
        <x:v>0</x:v>
      </x:c>
      <x:c r="I19" s="23" t="n">
        <x:v>0</x:v>
      </x:c>
      <x:c r="J19" s="23" t="n">
        <x:v>0</x:v>
      </x:c>
      <x:c r="K19" s="23" t="n">
        <x:v>0</x:v>
      </x:c>
      <x:c r="L19" s="23" t="n">
        <x:v>0</x:v>
      </x:c>
      <x:c r="M19" s="23" t="n">
        <x:v>0</x:v>
      </x:c>
      <x:c r="N19" s="23" t="n">
        <x:v>0</x:v>
      </x:c>
      <x:c r="O19" s="23" t="n">
        <x:v>0</x:v>
      </x:c>
      <x:c r="P19" s="23" t="n">
        <x:v>0</x:v>
      </x:c>
      <x:c r="Q19" s="23" t="n">
        <x:v>0</x:v>
      </x:c>
      <x:c r="R19" s="23" t="n">
        <x:v>0</x:v>
      </x:c>
      <x:c r="S19" s="23" t="n">
        <x:v>0</x:v>
      </x:c>
      <x:c r="T19" s="26" t="n">
        <x:v>0</x:v>
      </x:c>
      <x:c r="U19" s="23" t="n">
        <x:v>0</x:v>
      </x:c>
      <x:c r="V19" s="23" t="n">
        <x:v>0</x:v>
      </x:c>
      <x:c r="W19" s="24" t="n">
        <x:f>SUM(G19:J19)</x:f>
        <x:v>0</x:v>
      </x:c>
      <x:c r="X19" s="25" t="n">
        <x:f>IFERROR(W19/F19,0)</x:f>
        <x:v>0</x:v>
      </x:c>
      <x:c r="Y19" s="25" t="n">
        <x:f>IFERROR(H19/F19,0)</x:f>
        <x:v>0</x:v>
      </x:c>
      <x:c r="Z19" s="25" t="n">
        <x:f>IFERROR(L19/F19,0)</x:f>
        <x:v>0</x:v>
      </x:c>
      <x:c r="AA19" s="25" t="n">
        <x:f>IFERROR(M19/L19,0)</x:f>
        <x:v>0</x:v>
      </x:c>
      <x:c r="AB19" s="25" t="n">
        <x:f>IFERROR(O19/N19,0)</x:f>
        <x:v>0</x:v>
      </x:c>
      <x:c r="AC19" s="25" t="n">
        <x:f>IFERROR(S19/O19,0)</x:f>
        <x:v>0</x:v>
      </x:c>
      <x:c r="AD19" s="27" t="n">
        <x:f>IFERROR(D19/N19,0)</x:f>
        <x:v>0</x:v>
      </x:c>
      <x:c r="AE19" s="25" t="n">
        <x:f>IFERROR(U19/O19,0)</x:f>
        <x:v>0</x:v>
      </x:c>
      <x:c r="AF19" s="25" t="n">
        <x:f>IFERROR((T19-D19)/D19,0)</x:f>
        <x:v>0</x:v>
      </x:c>
    </x:row>
    <x:row r="20" ht="44" customHeight="1">
      <x:c r="A20" s="22" t="n">
        <x:v>46265</x:v>
      </x:c>
      <x:c r="B20" s="23" t="str">
        <x:v>小红书</x:v>
      </x:c>
      <x:c r="C20" s="23" t="n">
        <x:v>0</x:v>
      </x:c>
      <x:c r="D20" s="26" t="n">
        <x:v>0</x:v>
      </x:c>
      <x:c r="E20" s="23" t="n">
        <x:v>0</x:v>
      </x:c>
      <x:c r="F20" s="23" t="n">
        <x:v>0</x:v>
      </x:c>
      <x:c r="G20" s="23" t="n">
        <x:v>0</x:v>
      </x:c>
      <x:c r="H20" s="23" t="n">
        <x:v>0</x:v>
      </x:c>
      <x:c r="I20" s="23" t="n">
        <x:v>0</x:v>
      </x:c>
      <x:c r="J20" s="23" t="n">
        <x:v>0</x:v>
      </x:c>
      <x:c r="K20" s="23" t="n">
        <x:v>0</x:v>
      </x:c>
      <x:c r="L20" s="23" t="n">
        <x:v>0</x:v>
      </x:c>
      <x:c r="M20" s="23" t="n">
        <x:v>0</x:v>
      </x:c>
      <x:c r="N20" s="23" t="n">
        <x:v>0</x:v>
      </x:c>
      <x:c r="O20" s="23" t="n">
        <x:v>0</x:v>
      </x:c>
      <x:c r="P20" s="23" t="n">
        <x:v>0</x:v>
      </x:c>
      <x:c r="Q20" s="23" t="n">
        <x:v>0</x:v>
      </x:c>
      <x:c r="R20" s="23" t="n">
        <x:v>0</x:v>
      </x:c>
      <x:c r="S20" s="23" t="n">
        <x:v>0</x:v>
      </x:c>
      <x:c r="T20" s="26" t="n">
        <x:v>0</x:v>
      </x:c>
      <x:c r="U20" s="23" t="n">
        <x:v>0</x:v>
      </x:c>
      <x:c r="V20" s="23" t="n">
        <x:v>0</x:v>
      </x:c>
      <x:c r="W20" s="24" t="n">
        <x:f>SUM(G20:J20)</x:f>
        <x:v>0</x:v>
      </x:c>
      <x:c r="X20" s="25" t="n">
        <x:f>IFERROR(W20/F20,0)</x:f>
        <x:v>0</x:v>
      </x:c>
      <x:c r="Y20" s="25" t="n">
        <x:f>IFERROR(H20/F20,0)</x:f>
        <x:v>0</x:v>
      </x:c>
      <x:c r="Z20" s="25" t="n">
        <x:f>IFERROR(L20/F20,0)</x:f>
        <x:v>0</x:v>
      </x:c>
      <x:c r="AA20" s="25" t="n">
        <x:f>IFERROR(M20/L20,0)</x:f>
        <x:v>0</x:v>
      </x:c>
      <x:c r="AB20" s="25" t="n">
        <x:f>IFERROR(O20/N20,0)</x:f>
        <x:v>0</x:v>
      </x:c>
      <x:c r="AC20" s="25" t="n">
        <x:f>IFERROR(S20/O20,0)</x:f>
        <x:v>0</x:v>
      </x:c>
      <x:c r="AD20" s="27" t="n">
        <x:f>IFERROR(D20/N20,0)</x:f>
        <x:v>0</x:v>
      </x:c>
      <x:c r="AE20" s="25" t="n">
        <x:f>IFERROR(U20/O20,0)</x:f>
        <x:v>0</x:v>
      </x:c>
      <x:c r="AF20" s="25" t="n">
        <x:f>IFERROR((T20-D20)/D20,0)</x:f>
        <x:v>0</x:v>
      </x:c>
    </x:row>
    <x:row r="21" ht="44" customHeight="1">
      <x:c r="A21" s="22" t="n">
        <x:v>46266</x:v>
      </x:c>
      <x:c r="B21" s="23" t="str">
        <x:v>小红书</x:v>
      </x:c>
      <x:c r="C21" s="23" t="n">
        <x:v>0</x:v>
      </x:c>
      <x:c r="D21" s="26" t="n">
        <x:v>0</x:v>
      </x:c>
      <x:c r="E21" s="23" t="n">
        <x:v>0</x:v>
      </x:c>
      <x:c r="F21" s="23" t="n">
        <x:v>0</x:v>
      </x:c>
      <x:c r="G21" s="23" t="n">
        <x:v>0</x:v>
      </x:c>
      <x:c r="H21" s="23" t="n">
        <x:v>0</x:v>
      </x:c>
      <x:c r="I21" s="23" t="n">
        <x:v>0</x:v>
      </x:c>
      <x:c r="J21" s="23" t="n">
        <x:v>0</x:v>
      </x:c>
      <x:c r="K21" s="23" t="n">
        <x:v>0</x:v>
      </x:c>
      <x:c r="L21" s="23" t="n">
        <x:v>0</x:v>
      </x:c>
      <x:c r="M21" s="23" t="n">
        <x:v>0</x:v>
      </x:c>
      <x:c r="N21" s="23" t="n">
        <x:v>0</x:v>
      </x:c>
      <x:c r="O21" s="23" t="n">
        <x:v>0</x:v>
      </x:c>
      <x:c r="P21" s="23" t="n">
        <x:v>0</x:v>
      </x:c>
      <x:c r="Q21" s="23" t="n">
        <x:v>0</x:v>
      </x:c>
      <x:c r="R21" s="23" t="n">
        <x:v>0</x:v>
      </x:c>
      <x:c r="S21" s="23" t="n">
        <x:v>0</x:v>
      </x:c>
      <x:c r="T21" s="26" t="n">
        <x:v>0</x:v>
      </x:c>
      <x:c r="U21" s="23" t="n">
        <x:v>0</x:v>
      </x:c>
      <x:c r="V21" s="23" t="n">
        <x:v>0</x:v>
      </x:c>
      <x:c r="W21" s="24" t="n">
        <x:f>SUM(G21:J21)</x:f>
        <x:v>0</x:v>
      </x:c>
      <x:c r="X21" s="25" t="n">
        <x:f>IFERROR(W21/F21,0)</x:f>
        <x:v>0</x:v>
      </x:c>
      <x:c r="Y21" s="25" t="n">
        <x:f>IFERROR(H21/F21,0)</x:f>
        <x:v>0</x:v>
      </x:c>
      <x:c r="Z21" s="25" t="n">
        <x:f>IFERROR(L21/F21,0)</x:f>
        <x:v>0</x:v>
      </x:c>
      <x:c r="AA21" s="25" t="n">
        <x:f>IFERROR(M21/L21,0)</x:f>
        <x:v>0</x:v>
      </x:c>
      <x:c r="AB21" s="25" t="n">
        <x:f>IFERROR(O21/N21,0)</x:f>
        <x:v>0</x:v>
      </x:c>
      <x:c r="AC21" s="25" t="n">
        <x:f>IFERROR(S21/O21,0)</x:f>
        <x:v>0</x:v>
      </x:c>
      <x:c r="AD21" s="27" t="n">
        <x:f>IFERROR(D21/N21,0)</x:f>
        <x:v>0</x:v>
      </x:c>
      <x:c r="AE21" s="25" t="n">
        <x:f>IFERROR(U21/O21,0)</x:f>
        <x:v>0</x:v>
      </x:c>
      <x:c r="AF21" s="25" t="n">
        <x:f>IFERROR((T21-D21)/D21,0)</x:f>
        <x:v>0</x:v>
      </x:c>
    </x:row>
    <x:row r="22" ht="44" customHeight="1">
      <x:c r="A22" s="22" t="n">
        <x:v>46267</x:v>
      </x:c>
      <x:c r="B22" s="23" t="str">
        <x:v>小红书</x:v>
      </x:c>
      <x:c r="C22" s="23" t="n">
        <x:v>0</x:v>
      </x:c>
      <x:c r="D22" s="26" t="n">
        <x:v>0</x:v>
      </x:c>
      <x:c r="E22" s="23" t="n">
        <x:v>0</x:v>
      </x:c>
      <x:c r="F22" s="23" t="n">
        <x:v>0</x:v>
      </x:c>
      <x:c r="G22" s="23" t="n">
        <x:v>0</x:v>
      </x:c>
      <x:c r="H22" s="23" t="n">
        <x:v>0</x:v>
      </x:c>
      <x:c r="I22" s="23" t="n">
        <x:v>0</x:v>
      </x:c>
      <x:c r="J22" s="23" t="n">
        <x:v>0</x:v>
      </x:c>
      <x:c r="K22" s="23" t="n">
        <x:v>0</x:v>
      </x:c>
      <x:c r="L22" s="23" t="n">
        <x:v>0</x:v>
      </x:c>
      <x:c r="M22" s="23" t="n">
        <x:v>0</x:v>
      </x:c>
      <x:c r="N22" s="23" t="n">
        <x:v>0</x:v>
      </x:c>
      <x:c r="O22" s="23" t="n">
        <x:v>0</x:v>
      </x:c>
      <x:c r="P22" s="23" t="n">
        <x:v>0</x:v>
      </x:c>
      <x:c r="Q22" s="23" t="n">
        <x:v>0</x:v>
      </x:c>
      <x:c r="R22" s="23" t="n">
        <x:v>0</x:v>
      </x:c>
      <x:c r="S22" s="23" t="n">
        <x:v>0</x:v>
      </x:c>
      <x:c r="T22" s="26" t="n">
        <x:v>0</x:v>
      </x:c>
      <x:c r="U22" s="23" t="n">
        <x:v>0</x:v>
      </x:c>
      <x:c r="V22" s="23" t="n">
        <x:v>0</x:v>
      </x:c>
      <x:c r="W22" s="24" t="n">
        <x:f>SUM(G22:J22)</x:f>
        <x:v>0</x:v>
      </x:c>
      <x:c r="X22" s="25" t="n">
        <x:f>IFERROR(W22/F22,0)</x:f>
        <x:v>0</x:v>
      </x:c>
      <x:c r="Y22" s="25" t="n">
        <x:f>IFERROR(H22/F22,0)</x:f>
        <x:v>0</x:v>
      </x:c>
      <x:c r="Z22" s="25" t="n">
        <x:f>IFERROR(L22/F22,0)</x:f>
        <x:v>0</x:v>
      </x:c>
      <x:c r="AA22" s="25" t="n">
        <x:f>IFERROR(M22/L22,0)</x:f>
        <x:v>0</x:v>
      </x:c>
      <x:c r="AB22" s="25" t="n">
        <x:f>IFERROR(O22/N22,0)</x:f>
        <x:v>0</x:v>
      </x:c>
      <x:c r="AC22" s="25" t="n">
        <x:f>IFERROR(S22/O22,0)</x:f>
        <x:v>0</x:v>
      </x:c>
      <x:c r="AD22" s="27" t="n">
        <x:f>IFERROR(D22/N22,0)</x:f>
        <x:v>0</x:v>
      </x:c>
      <x:c r="AE22" s="25" t="n">
        <x:f>IFERROR(U22/O22,0)</x:f>
        <x:v>0</x:v>
      </x:c>
      <x:c r="AF22" s="25" t="n">
        <x:f>IFERROR((T22-D22)/D22,0)</x:f>
        <x:v>0</x:v>
      </x:c>
    </x:row>
    <x:row r="23" ht="44" customHeight="1">
      <x:c r="A23" s="22" t="n">
        <x:v>46268</x:v>
      </x:c>
      <x:c r="B23" s="23" t="str">
        <x:v>小红书</x:v>
      </x:c>
      <x:c r="C23" s="23" t="n">
        <x:v>0</x:v>
      </x:c>
      <x:c r="D23" s="26" t="n">
        <x:v>0</x:v>
      </x:c>
      <x:c r="E23" s="23" t="n">
        <x:v>0</x:v>
      </x:c>
      <x:c r="F23" s="23" t="n">
        <x:v>0</x:v>
      </x:c>
      <x:c r="G23" s="23" t="n">
        <x:v>0</x:v>
      </x:c>
      <x:c r="H23" s="23" t="n">
        <x:v>0</x:v>
      </x:c>
      <x:c r="I23" s="23" t="n">
        <x:v>0</x:v>
      </x:c>
      <x:c r="J23" s="23" t="n">
        <x:v>0</x:v>
      </x:c>
      <x:c r="K23" s="23" t="n">
        <x:v>0</x:v>
      </x:c>
      <x:c r="L23" s="23" t="n">
        <x:v>0</x:v>
      </x:c>
      <x:c r="M23" s="23" t="n">
        <x:v>0</x:v>
      </x:c>
      <x:c r="N23" s="23" t="n">
        <x:v>0</x:v>
      </x:c>
      <x:c r="O23" s="23" t="n">
        <x:v>0</x:v>
      </x:c>
      <x:c r="P23" s="23" t="n">
        <x:v>0</x:v>
      </x:c>
      <x:c r="Q23" s="23" t="n">
        <x:v>0</x:v>
      </x:c>
      <x:c r="R23" s="23" t="n">
        <x:v>0</x:v>
      </x:c>
      <x:c r="S23" s="23" t="n">
        <x:v>0</x:v>
      </x:c>
      <x:c r="T23" s="26" t="n">
        <x:v>0</x:v>
      </x:c>
      <x:c r="U23" s="23" t="n">
        <x:v>0</x:v>
      </x:c>
      <x:c r="V23" s="23" t="n">
        <x:v>0</x:v>
      </x:c>
      <x:c r="W23" s="24" t="n">
        <x:f>SUM(G23:J23)</x:f>
        <x:v>0</x:v>
      </x:c>
      <x:c r="X23" s="25" t="n">
        <x:f>IFERROR(W23/F23,0)</x:f>
        <x:v>0</x:v>
      </x:c>
      <x:c r="Y23" s="25" t="n">
        <x:f>IFERROR(H23/F23,0)</x:f>
        <x:v>0</x:v>
      </x:c>
      <x:c r="Z23" s="25" t="n">
        <x:f>IFERROR(L23/F23,0)</x:f>
        <x:v>0</x:v>
      </x:c>
      <x:c r="AA23" s="25" t="n">
        <x:f>IFERROR(M23/L23,0)</x:f>
        <x:v>0</x:v>
      </x:c>
      <x:c r="AB23" s="25" t="n">
        <x:f>IFERROR(O23/N23,0)</x:f>
        <x:v>0</x:v>
      </x:c>
      <x:c r="AC23" s="25" t="n">
        <x:f>IFERROR(S23/O23,0)</x:f>
        <x:v>0</x:v>
      </x:c>
      <x:c r="AD23" s="27" t="n">
        <x:f>IFERROR(D23/N23,0)</x:f>
        <x:v>0</x:v>
      </x:c>
      <x:c r="AE23" s="25" t="n">
        <x:f>IFERROR(U23/O23,0)</x:f>
        <x:v>0</x:v>
      </x:c>
      <x:c r="AF23" s="25" t="n">
        <x:f>IFERROR((T23-D23)/D23,0)</x:f>
        <x:v>0</x:v>
      </x:c>
    </x:row>
    <x:row r="24" ht="44" customHeight="1">
      <x:c r="A24" s="22" t="n">
        <x:v>46269</x:v>
      </x:c>
      <x:c r="B24" s="23" t="str">
        <x:v>小红书</x:v>
      </x:c>
      <x:c r="C24" s="23" t="n">
        <x:v>0</x:v>
      </x:c>
      <x:c r="D24" s="26" t="n">
        <x:v>0</x:v>
      </x:c>
      <x:c r="E24" s="23" t="n">
        <x:v>0</x:v>
      </x:c>
      <x:c r="F24" s="23" t="n">
        <x:v>0</x:v>
      </x:c>
      <x:c r="G24" s="23" t="n">
        <x:v>0</x:v>
      </x:c>
      <x:c r="H24" s="23" t="n">
        <x:v>0</x:v>
      </x:c>
      <x:c r="I24" s="23" t="n">
        <x:v>0</x:v>
      </x:c>
      <x:c r="J24" s="23" t="n">
        <x:v>0</x:v>
      </x:c>
      <x:c r="K24" s="23" t="n">
        <x:v>0</x:v>
      </x:c>
      <x:c r="L24" s="23" t="n">
        <x:v>0</x:v>
      </x:c>
      <x:c r="M24" s="23" t="n">
        <x:v>0</x:v>
      </x:c>
      <x:c r="N24" s="23" t="n">
        <x:v>0</x:v>
      </x:c>
      <x:c r="O24" s="23" t="n">
        <x:v>0</x:v>
      </x:c>
      <x:c r="P24" s="23" t="n">
        <x:v>0</x:v>
      </x:c>
      <x:c r="Q24" s="23" t="n">
        <x:v>0</x:v>
      </x:c>
      <x:c r="R24" s="23" t="n">
        <x:v>0</x:v>
      </x:c>
      <x:c r="S24" s="23" t="n">
        <x:v>0</x:v>
      </x:c>
      <x:c r="T24" s="26" t="n">
        <x:v>0</x:v>
      </x:c>
      <x:c r="U24" s="23" t="n">
        <x:v>0</x:v>
      </x:c>
      <x:c r="V24" s="23" t="n">
        <x:v>0</x:v>
      </x:c>
      <x:c r="W24" s="24" t="n">
        <x:f>SUM(G24:J24)</x:f>
        <x:v>0</x:v>
      </x:c>
      <x:c r="X24" s="25" t="n">
        <x:f>IFERROR(W24/F24,0)</x:f>
        <x:v>0</x:v>
      </x:c>
      <x:c r="Y24" s="25" t="n">
        <x:f>IFERROR(H24/F24,0)</x:f>
        <x:v>0</x:v>
      </x:c>
      <x:c r="Z24" s="25" t="n">
        <x:f>IFERROR(L24/F24,0)</x:f>
        <x:v>0</x:v>
      </x:c>
      <x:c r="AA24" s="25" t="n">
        <x:f>IFERROR(M24/L24,0)</x:f>
        <x:v>0</x:v>
      </x:c>
      <x:c r="AB24" s="25" t="n">
        <x:f>IFERROR(O24/N24,0)</x:f>
        <x:v>0</x:v>
      </x:c>
      <x:c r="AC24" s="25" t="n">
        <x:f>IFERROR(S24/O24,0)</x:f>
        <x:v>0</x:v>
      </x:c>
      <x:c r="AD24" s="27" t="n">
        <x:f>IFERROR(D24/N24,0)</x:f>
        <x:v>0</x:v>
      </x:c>
      <x:c r="AE24" s="25" t="n">
        <x:f>IFERROR(U24/O24,0)</x:f>
        <x:v>0</x:v>
      </x:c>
      <x:c r="AF24" s="25" t="n">
        <x:f>IFERROR((T24-D24)/D24,0)</x:f>
        <x:v>0</x:v>
      </x:c>
    </x:row>
    <x:row r="25" ht="44" customHeight="1">
      <x:c r="A25" s="22" t="n">
        <x:v>46270</x:v>
      </x:c>
      <x:c r="B25" s="23" t="str">
        <x:v>小红书</x:v>
      </x:c>
      <x:c r="C25" s="23" t="n">
        <x:v>0</x:v>
      </x:c>
      <x:c r="D25" s="26" t="n">
        <x:v>0</x:v>
      </x:c>
      <x:c r="E25" s="23" t="n">
        <x:v>0</x:v>
      </x:c>
      <x:c r="F25" s="23" t="n">
        <x:v>0</x:v>
      </x:c>
      <x:c r="G25" s="23" t="n">
        <x:v>0</x:v>
      </x:c>
      <x:c r="H25" s="23" t="n">
        <x:v>0</x:v>
      </x:c>
      <x:c r="I25" s="23" t="n">
        <x:v>0</x:v>
      </x:c>
      <x:c r="J25" s="23" t="n">
        <x:v>0</x:v>
      </x:c>
      <x:c r="K25" s="23" t="n">
        <x:v>0</x:v>
      </x:c>
      <x:c r="L25" s="23" t="n">
        <x:v>0</x:v>
      </x:c>
      <x:c r="M25" s="23" t="n">
        <x:v>0</x:v>
      </x:c>
      <x:c r="N25" s="23" t="n">
        <x:v>0</x:v>
      </x:c>
      <x:c r="O25" s="23" t="n">
        <x:v>0</x:v>
      </x:c>
      <x:c r="P25" s="23" t="n">
        <x:v>0</x:v>
      </x:c>
      <x:c r="Q25" s="23" t="n">
        <x:v>0</x:v>
      </x:c>
      <x:c r="R25" s="23" t="n">
        <x:v>0</x:v>
      </x:c>
      <x:c r="S25" s="23" t="n">
        <x:v>0</x:v>
      </x:c>
      <x:c r="T25" s="26" t="n">
        <x:v>0</x:v>
      </x:c>
      <x:c r="U25" s="23" t="n">
        <x:v>0</x:v>
      </x:c>
      <x:c r="V25" s="23" t="n">
        <x:v>0</x:v>
      </x:c>
      <x:c r="W25" s="24" t="n">
        <x:f>SUM(G25:J25)</x:f>
        <x:v>0</x:v>
      </x:c>
      <x:c r="X25" s="25" t="n">
        <x:f>IFERROR(W25/F25,0)</x:f>
        <x:v>0</x:v>
      </x:c>
      <x:c r="Y25" s="25" t="n">
        <x:f>IFERROR(H25/F25,0)</x:f>
        <x:v>0</x:v>
      </x:c>
      <x:c r="Z25" s="25" t="n">
        <x:f>IFERROR(L25/F25,0)</x:f>
        <x:v>0</x:v>
      </x:c>
      <x:c r="AA25" s="25" t="n">
        <x:f>IFERROR(M25/L25,0)</x:f>
        <x:v>0</x:v>
      </x:c>
      <x:c r="AB25" s="25" t="n">
        <x:f>IFERROR(O25/N25,0)</x:f>
        <x:v>0</x:v>
      </x:c>
      <x:c r="AC25" s="25" t="n">
        <x:f>IFERROR(S25/O25,0)</x:f>
        <x:v>0</x:v>
      </x:c>
      <x:c r="AD25" s="27" t="n">
        <x:f>IFERROR(D25/N25,0)</x:f>
        <x:v>0</x:v>
      </x:c>
      <x:c r="AE25" s="25" t="n">
        <x:f>IFERROR(U25/O25,0)</x:f>
        <x:v>0</x:v>
      </x:c>
      <x:c r="AF25" s="25" t="n">
        <x:f>IFERROR((T25-D25)/D25,0)</x:f>
        <x:v>0</x:v>
      </x:c>
    </x:row>
    <x:row r="26" ht="44" customHeight="1">
      <x:c r="A26" s="22" t="n">
        <x:v>46271</x:v>
      </x:c>
      <x:c r="B26" s="23" t="str">
        <x:v>小红书</x:v>
      </x:c>
      <x:c r="C26" s="23" t="n">
        <x:v>0</x:v>
      </x:c>
      <x:c r="D26" s="26" t="n">
        <x:v>0</x:v>
      </x:c>
      <x:c r="E26" s="23" t="n">
        <x:v>0</x:v>
      </x:c>
      <x:c r="F26" s="23" t="n">
        <x:v>0</x:v>
      </x:c>
      <x:c r="G26" s="23" t="n">
        <x:v>0</x:v>
      </x:c>
      <x:c r="H26" s="23" t="n">
        <x:v>0</x:v>
      </x:c>
      <x:c r="I26" s="23" t="n">
        <x:v>0</x:v>
      </x:c>
      <x:c r="J26" s="23" t="n">
        <x:v>0</x:v>
      </x:c>
      <x:c r="K26" s="23" t="n">
        <x:v>0</x:v>
      </x:c>
      <x:c r="L26" s="23" t="n">
        <x:v>0</x:v>
      </x:c>
      <x:c r="M26" s="23" t="n">
        <x:v>0</x:v>
      </x:c>
      <x:c r="N26" s="23" t="n">
        <x:v>0</x:v>
      </x:c>
      <x:c r="O26" s="23" t="n">
        <x:v>0</x:v>
      </x:c>
      <x:c r="P26" s="23" t="n">
        <x:v>0</x:v>
      </x:c>
      <x:c r="Q26" s="23" t="n">
        <x:v>0</x:v>
      </x:c>
      <x:c r="R26" s="23" t="n">
        <x:v>0</x:v>
      </x:c>
      <x:c r="S26" s="23" t="n">
        <x:v>0</x:v>
      </x:c>
      <x:c r="T26" s="26" t="n">
        <x:v>0</x:v>
      </x:c>
      <x:c r="U26" s="23" t="n">
        <x:v>0</x:v>
      </x:c>
      <x:c r="V26" s="23" t="n">
        <x:v>0</x:v>
      </x:c>
      <x:c r="W26" s="24" t="n">
        <x:f>SUM(G26:J26)</x:f>
        <x:v>0</x:v>
      </x:c>
      <x:c r="X26" s="25" t="n">
        <x:f>IFERROR(W26/F26,0)</x:f>
        <x:v>0</x:v>
      </x:c>
      <x:c r="Y26" s="25" t="n">
        <x:f>IFERROR(H26/F26,0)</x:f>
        <x:v>0</x:v>
      </x:c>
      <x:c r="Z26" s="25" t="n">
        <x:f>IFERROR(L26/F26,0)</x:f>
        <x:v>0</x:v>
      </x:c>
      <x:c r="AA26" s="25" t="n">
        <x:f>IFERROR(M26/L26,0)</x:f>
        <x:v>0</x:v>
      </x:c>
      <x:c r="AB26" s="25" t="n">
        <x:f>IFERROR(O26/N26,0)</x:f>
        <x:v>0</x:v>
      </x:c>
      <x:c r="AC26" s="25" t="n">
        <x:f>IFERROR(S26/O26,0)</x:f>
        <x:v>0</x:v>
      </x:c>
      <x:c r="AD26" s="27" t="n">
        <x:f>IFERROR(D26/N26,0)</x:f>
        <x:v>0</x:v>
      </x:c>
      <x:c r="AE26" s="25" t="n">
        <x:f>IFERROR(U26/O26,0)</x:f>
        <x:v>0</x:v>
      </x:c>
      <x:c r="AF26" s="25" t="n">
        <x:f>IFERROR((T26-D26)/D26,0)</x:f>
        <x:v>0</x:v>
      </x:c>
    </x:row>
    <x:row r="27" ht="44" customHeight="1">
      <x:c r="A27" s="22" t="n">
        <x:v>46272</x:v>
      </x:c>
      <x:c r="B27" s="23" t="str">
        <x:v>小红书</x:v>
      </x:c>
      <x:c r="C27" s="23" t="n">
        <x:v>0</x:v>
      </x:c>
      <x:c r="D27" s="26" t="n">
        <x:v>0</x:v>
      </x:c>
      <x:c r="E27" s="23" t="n">
        <x:v>0</x:v>
      </x:c>
      <x:c r="F27" s="23" t="n">
        <x:v>0</x:v>
      </x:c>
      <x:c r="G27" s="23" t="n">
        <x:v>0</x:v>
      </x:c>
      <x:c r="H27" s="23" t="n">
        <x:v>0</x:v>
      </x:c>
      <x:c r="I27" s="23" t="n">
        <x:v>0</x:v>
      </x:c>
      <x:c r="J27" s="23" t="n">
        <x:v>0</x:v>
      </x:c>
      <x:c r="K27" s="23" t="n">
        <x:v>0</x:v>
      </x:c>
      <x:c r="L27" s="23" t="n">
        <x:v>0</x:v>
      </x:c>
      <x:c r="M27" s="23" t="n">
        <x:v>0</x:v>
      </x:c>
      <x:c r="N27" s="23" t="n">
        <x:v>0</x:v>
      </x:c>
      <x:c r="O27" s="23" t="n">
        <x:v>0</x:v>
      </x:c>
      <x:c r="P27" s="23" t="n">
        <x:v>0</x:v>
      </x:c>
      <x:c r="Q27" s="23" t="n">
        <x:v>0</x:v>
      </x:c>
      <x:c r="R27" s="23" t="n">
        <x:v>0</x:v>
      </x:c>
      <x:c r="S27" s="23" t="n">
        <x:v>0</x:v>
      </x:c>
      <x:c r="T27" s="26" t="n">
        <x:v>0</x:v>
      </x:c>
      <x:c r="U27" s="23" t="n">
        <x:v>0</x:v>
      </x:c>
      <x:c r="V27" s="23" t="n">
        <x:v>0</x:v>
      </x:c>
      <x:c r="W27" s="24" t="n">
        <x:f>SUM(G27:J27)</x:f>
        <x:v>0</x:v>
      </x:c>
      <x:c r="X27" s="25" t="n">
        <x:f>IFERROR(W27/F27,0)</x:f>
        <x:v>0</x:v>
      </x:c>
      <x:c r="Y27" s="25" t="n">
        <x:f>IFERROR(H27/F27,0)</x:f>
        <x:v>0</x:v>
      </x:c>
      <x:c r="Z27" s="25" t="n">
        <x:f>IFERROR(L27/F27,0)</x:f>
        <x:v>0</x:v>
      </x:c>
      <x:c r="AA27" s="25" t="n">
        <x:f>IFERROR(M27/L27,0)</x:f>
        <x:v>0</x:v>
      </x:c>
      <x:c r="AB27" s="25" t="n">
        <x:f>IFERROR(O27/N27,0)</x:f>
        <x:v>0</x:v>
      </x:c>
      <x:c r="AC27" s="25" t="n">
        <x:f>IFERROR(S27/O27,0)</x:f>
        <x:v>0</x:v>
      </x:c>
      <x:c r="AD27" s="27" t="n">
        <x:f>IFERROR(D27/N27,0)</x:f>
        <x:v>0</x:v>
      </x:c>
      <x:c r="AE27" s="25" t="n">
        <x:f>IFERROR(U27/O27,0)</x:f>
        <x:v>0</x:v>
      </x:c>
      <x:c r="AF27" s="25" t="n">
        <x:f>IFERROR((T27-D27)/D27,0)</x:f>
        <x:v>0</x:v>
      </x:c>
    </x:row>
    <x:row r="28" ht="44" customHeight="1">
      <x:c r="A28" s="22" t="n">
        <x:v>46273</x:v>
      </x:c>
      <x:c r="B28" s="23" t="str">
        <x:v>小红书</x:v>
      </x:c>
      <x:c r="C28" s="23" t="n">
        <x:v>0</x:v>
      </x:c>
      <x:c r="D28" s="26" t="n">
        <x:v>0</x:v>
      </x:c>
      <x:c r="E28" s="23" t="n">
        <x:v>0</x:v>
      </x:c>
      <x:c r="F28" s="23" t="n">
        <x:v>0</x:v>
      </x:c>
      <x:c r="G28" s="23" t="n">
        <x:v>0</x:v>
      </x:c>
      <x:c r="H28" s="23" t="n">
        <x:v>0</x:v>
      </x:c>
      <x:c r="I28" s="23" t="n">
        <x:v>0</x:v>
      </x:c>
      <x:c r="J28" s="23" t="n">
        <x:v>0</x:v>
      </x:c>
      <x:c r="K28" s="23" t="n">
        <x:v>0</x:v>
      </x:c>
      <x:c r="L28" s="23" t="n">
        <x:v>0</x:v>
      </x:c>
      <x:c r="M28" s="23" t="n">
        <x:v>0</x:v>
      </x:c>
      <x:c r="N28" s="23" t="n">
        <x:v>0</x:v>
      </x:c>
      <x:c r="O28" s="23" t="n">
        <x:v>0</x:v>
      </x:c>
      <x:c r="P28" s="23" t="n">
        <x:v>0</x:v>
      </x:c>
      <x:c r="Q28" s="23" t="n">
        <x:v>0</x:v>
      </x:c>
      <x:c r="R28" s="23" t="n">
        <x:v>0</x:v>
      </x:c>
      <x:c r="S28" s="23" t="n">
        <x:v>0</x:v>
      </x:c>
      <x:c r="T28" s="26" t="n">
        <x:v>0</x:v>
      </x:c>
      <x:c r="U28" s="23" t="n">
        <x:v>0</x:v>
      </x:c>
      <x:c r="V28" s="23" t="n">
        <x:v>0</x:v>
      </x:c>
      <x:c r="W28" s="24" t="n">
        <x:f>SUM(G28:J28)</x:f>
        <x:v>0</x:v>
      </x:c>
      <x:c r="X28" s="25" t="n">
        <x:f>IFERROR(W28/F28,0)</x:f>
        <x:v>0</x:v>
      </x:c>
      <x:c r="Y28" s="25" t="n">
        <x:f>IFERROR(H28/F28,0)</x:f>
        <x:v>0</x:v>
      </x:c>
      <x:c r="Z28" s="25" t="n">
        <x:f>IFERROR(L28/F28,0)</x:f>
        <x:v>0</x:v>
      </x:c>
      <x:c r="AA28" s="25" t="n">
        <x:f>IFERROR(M28/L28,0)</x:f>
        <x:v>0</x:v>
      </x:c>
      <x:c r="AB28" s="25" t="n">
        <x:f>IFERROR(O28/N28,0)</x:f>
        <x:v>0</x:v>
      </x:c>
      <x:c r="AC28" s="25" t="n">
        <x:f>IFERROR(S28/O28,0)</x:f>
        <x:v>0</x:v>
      </x:c>
      <x:c r="AD28" s="27" t="n">
        <x:f>IFERROR(D28/N28,0)</x:f>
        <x:v>0</x:v>
      </x:c>
      <x:c r="AE28" s="25" t="n">
        <x:f>IFERROR(U28/O28,0)</x:f>
        <x:v>0</x:v>
      </x:c>
      <x:c r="AF28" s="25" t="n">
        <x:f>IFERROR((T28-D28)/D28,0)</x:f>
        <x:v>0</x:v>
      </x:c>
    </x:row>
    <x:row r="29" ht="44" customHeight="1">
      <x:c r="A29" s="22" t="n">
        <x:v>46274</x:v>
      </x:c>
      <x:c r="B29" s="23" t="str">
        <x:v>小红书</x:v>
      </x:c>
      <x:c r="C29" s="23" t="n">
        <x:v>0</x:v>
      </x:c>
      <x:c r="D29" s="26" t="n">
        <x:v>0</x:v>
      </x:c>
      <x:c r="E29" s="23" t="n">
        <x:v>0</x:v>
      </x:c>
      <x:c r="F29" s="23" t="n">
        <x:v>0</x:v>
      </x:c>
      <x:c r="G29" s="23" t="n">
        <x:v>0</x:v>
      </x:c>
      <x:c r="H29" s="23" t="n">
        <x:v>0</x:v>
      </x:c>
      <x:c r="I29" s="23" t="n">
        <x:v>0</x:v>
      </x:c>
      <x:c r="J29" s="23" t="n">
        <x:v>0</x:v>
      </x:c>
      <x:c r="K29" s="23" t="n">
        <x:v>0</x:v>
      </x:c>
      <x:c r="L29" s="23" t="n">
        <x:v>0</x:v>
      </x:c>
      <x:c r="M29" s="23" t="n">
        <x:v>0</x:v>
      </x:c>
      <x:c r="N29" s="23" t="n">
        <x:v>0</x:v>
      </x:c>
      <x:c r="O29" s="23" t="n">
        <x:v>0</x:v>
      </x:c>
      <x:c r="P29" s="23" t="n">
        <x:v>0</x:v>
      </x:c>
      <x:c r="Q29" s="23" t="n">
        <x:v>0</x:v>
      </x:c>
      <x:c r="R29" s="23" t="n">
        <x:v>0</x:v>
      </x:c>
      <x:c r="S29" s="23" t="n">
        <x:v>0</x:v>
      </x:c>
      <x:c r="T29" s="26" t="n">
        <x:v>0</x:v>
      </x:c>
      <x:c r="U29" s="23" t="n">
        <x:v>0</x:v>
      </x:c>
      <x:c r="V29" s="23" t="n">
        <x:v>0</x:v>
      </x:c>
      <x:c r="W29" s="24" t="n">
        <x:f>SUM(G29:J29)</x:f>
        <x:v>0</x:v>
      </x:c>
      <x:c r="X29" s="25" t="n">
        <x:f>IFERROR(W29/F29,0)</x:f>
        <x:v>0</x:v>
      </x:c>
      <x:c r="Y29" s="25" t="n">
        <x:f>IFERROR(H29/F29,0)</x:f>
        <x:v>0</x:v>
      </x:c>
      <x:c r="Z29" s="25" t="n">
        <x:f>IFERROR(L29/F29,0)</x:f>
        <x:v>0</x:v>
      </x:c>
      <x:c r="AA29" s="25" t="n">
        <x:f>IFERROR(M29/L29,0)</x:f>
        <x:v>0</x:v>
      </x:c>
      <x:c r="AB29" s="25" t="n">
        <x:f>IFERROR(O29/N29,0)</x:f>
        <x:v>0</x:v>
      </x:c>
      <x:c r="AC29" s="25" t="n">
        <x:f>IFERROR(S29/O29,0)</x:f>
        <x:v>0</x:v>
      </x:c>
      <x:c r="AD29" s="27" t="n">
        <x:f>IFERROR(D29/N29,0)</x:f>
        <x:v>0</x:v>
      </x:c>
      <x:c r="AE29" s="25" t="n">
        <x:f>IFERROR(U29/O29,0)</x:f>
        <x:v>0</x:v>
      </x:c>
      <x:c r="AF29" s="25" t="n">
        <x:f>IFERROR((T29-D29)/D29,0)</x:f>
        <x:v>0</x:v>
      </x:c>
    </x:row>
    <x:row r="30" ht="44" customHeight="1">
      <x:c r="A30" s="22" t="n">
        <x:v>46275</x:v>
      </x:c>
      <x:c r="B30" s="23" t="str">
        <x:v>小红书</x:v>
      </x:c>
      <x:c r="C30" s="23" t="n">
        <x:v>0</x:v>
      </x:c>
      <x:c r="D30" s="26" t="n">
        <x:v>0</x:v>
      </x:c>
      <x:c r="E30" s="23" t="n">
        <x:v>0</x:v>
      </x:c>
      <x:c r="F30" s="23" t="n">
        <x:v>0</x:v>
      </x:c>
      <x:c r="G30" s="23" t="n">
        <x:v>0</x:v>
      </x:c>
      <x:c r="H30" s="23" t="n">
        <x:v>0</x:v>
      </x:c>
      <x:c r="I30" s="23" t="n">
        <x:v>0</x:v>
      </x:c>
      <x:c r="J30" s="23" t="n">
        <x:v>0</x:v>
      </x:c>
      <x:c r="K30" s="23" t="n">
        <x:v>0</x:v>
      </x:c>
      <x:c r="L30" s="23" t="n">
        <x:v>0</x:v>
      </x:c>
      <x:c r="M30" s="23" t="n">
        <x:v>0</x:v>
      </x:c>
      <x:c r="N30" s="23" t="n">
        <x:v>0</x:v>
      </x:c>
      <x:c r="O30" s="23" t="n">
        <x:v>0</x:v>
      </x:c>
      <x:c r="P30" s="23" t="n">
        <x:v>0</x:v>
      </x:c>
      <x:c r="Q30" s="23" t="n">
        <x:v>0</x:v>
      </x:c>
      <x:c r="R30" s="23" t="n">
        <x:v>0</x:v>
      </x:c>
      <x:c r="S30" s="23" t="n">
        <x:v>0</x:v>
      </x:c>
      <x:c r="T30" s="26" t="n">
        <x:v>0</x:v>
      </x:c>
      <x:c r="U30" s="23" t="n">
        <x:v>0</x:v>
      </x:c>
      <x:c r="V30" s="23" t="n">
        <x:v>0</x:v>
      </x:c>
      <x:c r="W30" s="24" t="n">
        <x:f>SUM(G30:J30)</x:f>
        <x:v>0</x:v>
      </x:c>
      <x:c r="X30" s="25" t="n">
        <x:f>IFERROR(W30/F30,0)</x:f>
        <x:v>0</x:v>
      </x:c>
      <x:c r="Y30" s="25" t="n">
        <x:f>IFERROR(H30/F30,0)</x:f>
        <x:v>0</x:v>
      </x:c>
      <x:c r="Z30" s="25" t="n">
        <x:f>IFERROR(L30/F30,0)</x:f>
        <x:v>0</x:v>
      </x:c>
      <x:c r="AA30" s="25" t="n">
        <x:f>IFERROR(M30/L30,0)</x:f>
        <x:v>0</x:v>
      </x:c>
      <x:c r="AB30" s="25" t="n">
        <x:f>IFERROR(O30/N30,0)</x:f>
        <x:v>0</x:v>
      </x:c>
      <x:c r="AC30" s="25" t="n">
        <x:f>IFERROR(S30/O30,0)</x:f>
        <x:v>0</x:v>
      </x:c>
      <x:c r="AD30" s="27" t="n">
        <x:f>IFERROR(D30/N30,0)</x:f>
        <x:v>0</x:v>
      </x:c>
      <x:c r="AE30" s="25" t="n">
        <x:f>IFERROR(U30/O30,0)</x:f>
        <x:v>0</x:v>
      </x:c>
      <x:c r="AF30" s="25" t="n">
        <x:f>IFERROR((T30-D30)/D30,0)</x:f>
        <x:v>0</x:v>
      </x:c>
    </x:row>
    <x:row r="31" ht="44" customHeight="1">
      <x:c r="A31" s="22" t="n">
        <x:v>46276</x:v>
      </x:c>
      <x:c r="B31" s="23" t="str">
        <x:v>小红书</x:v>
      </x:c>
      <x:c r="C31" s="23" t="n">
        <x:v>0</x:v>
      </x:c>
      <x:c r="D31" s="26" t="n">
        <x:v>0</x:v>
      </x:c>
      <x:c r="E31" s="23" t="n">
        <x:v>0</x:v>
      </x:c>
      <x:c r="F31" s="23" t="n">
        <x:v>0</x:v>
      </x:c>
      <x:c r="G31" s="23" t="n">
        <x:v>0</x:v>
      </x:c>
      <x:c r="H31" s="23" t="n">
        <x:v>0</x:v>
      </x:c>
      <x:c r="I31" s="23" t="n">
        <x:v>0</x:v>
      </x:c>
      <x:c r="J31" s="23" t="n">
        <x:v>0</x:v>
      </x:c>
      <x:c r="K31" s="23" t="n">
        <x:v>0</x:v>
      </x:c>
      <x:c r="L31" s="23" t="n">
        <x:v>0</x:v>
      </x:c>
      <x:c r="M31" s="23" t="n">
        <x:v>0</x:v>
      </x:c>
      <x:c r="N31" s="23" t="n">
        <x:v>0</x:v>
      </x:c>
      <x:c r="O31" s="23" t="n">
        <x:v>0</x:v>
      </x:c>
      <x:c r="P31" s="23" t="n">
        <x:v>0</x:v>
      </x:c>
      <x:c r="Q31" s="23" t="n">
        <x:v>0</x:v>
      </x:c>
      <x:c r="R31" s="23" t="n">
        <x:v>0</x:v>
      </x:c>
      <x:c r="S31" s="23" t="n">
        <x:v>0</x:v>
      </x:c>
      <x:c r="T31" s="26" t="n">
        <x:v>0</x:v>
      </x:c>
      <x:c r="U31" s="23" t="n">
        <x:v>0</x:v>
      </x:c>
      <x:c r="V31" s="23" t="n">
        <x:v>0</x:v>
      </x:c>
      <x:c r="W31" s="24" t="n">
        <x:f>SUM(G31:J31)</x:f>
        <x:v>0</x:v>
      </x:c>
      <x:c r="X31" s="25" t="n">
        <x:f>IFERROR(W31/F31,0)</x:f>
        <x:v>0</x:v>
      </x:c>
      <x:c r="Y31" s="25" t="n">
        <x:f>IFERROR(H31/F31,0)</x:f>
        <x:v>0</x:v>
      </x:c>
      <x:c r="Z31" s="25" t="n">
        <x:f>IFERROR(L31/F31,0)</x:f>
        <x:v>0</x:v>
      </x:c>
      <x:c r="AA31" s="25" t="n">
        <x:f>IFERROR(M31/L31,0)</x:f>
        <x:v>0</x:v>
      </x:c>
      <x:c r="AB31" s="25" t="n">
        <x:f>IFERROR(O31/N31,0)</x:f>
        <x:v>0</x:v>
      </x:c>
      <x:c r="AC31" s="25" t="n">
        <x:f>IFERROR(S31/O31,0)</x:f>
        <x:v>0</x:v>
      </x:c>
      <x:c r="AD31" s="27" t="n">
        <x:f>IFERROR(D31/N31,0)</x:f>
        <x:v>0</x:v>
      </x:c>
      <x:c r="AE31" s="25" t="n">
        <x:f>IFERROR(U31/O31,0)</x:f>
        <x:v>0</x:v>
      </x:c>
      <x:c r="AF31" s="25" t="n">
        <x:f>IFERROR((T31-D31)/D31,0)</x:f>
        <x:v>0</x:v>
      </x:c>
    </x:row>
    <x:row r="32" ht="44" customHeight="1">
      <x:c r="A32" s="22" t="n">
        <x:v>46277</x:v>
      </x:c>
      <x:c r="B32" s="23" t="str">
        <x:v>小红书</x:v>
      </x:c>
      <x:c r="C32" s="23" t="n">
        <x:v>0</x:v>
      </x:c>
      <x:c r="D32" s="26" t="n">
        <x:v>0</x:v>
      </x:c>
      <x:c r="E32" s="23" t="n">
        <x:v>0</x:v>
      </x:c>
      <x:c r="F32" s="23" t="n">
        <x:v>0</x:v>
      </x:c>
      <x:c r="G32" s="23" t="n">
        <x:v>0</x:v>
      </x:c>
      <x:c r="H32" s="23" t="n">
        <x:v>0</x:v>
      </x:c>
      <x:c r="I32" s="23" t="n">
        <x:v>0</x:v>
      </x:c>
      <x:c r="J32" s="23" t="n">
        <x:v>0</x:v>
      </x:c>
      <x:c r="K32" s="23" t="n">
        <x:v>0</x:v>
      </x:c>
      <x:c r="L32" s="23" t="n">
        <x:v>0</x:v>
      </x:c>
      <x:c r="M32" s="23" t="n">
        <x:v>0</x:v>
      </x:c>
      <x:c r="N32" s="23" t="n">
        <x:v>0</x:v>
      </x:c>
      <x:c r="O32" s="23" t="n">
        <x:v>0</x:v>
      </x:c>
      <x:c r="P32" s="23" t="n">
        <x:v>0</x:v>
      </x:c>
      <x:c r="Q32" s="23" t="n">
        <x:v>0</x:v>
      </x:c>
      <x:c r="R32" s="23" t="n">
        <x:v>0</x:v>
      </x:c>
      <x:c r="S32" s="23" t="n">
        <x:v>0</x:v>
      </x:c>
      <x:c r="T32" s="26" t="n">
        <x:v>0</x:v>
      </x:c>
      <x:c r="U32" s="23" t="n">
        <x:v>0</x:v>
      </x:c>
      <x:c r="V32" s="23" t="n">
        <x:v>0</x:v>
      </x:c>
      <x:c r="W32" s="24" t="n">
        <x:f>SUM(G32:J32)</x:f>
        <x:v>0</x:v>
      </x:c>
      <x:c r="X32" s="25" t="n">
        <x:f>IFERROR(W32/F32,0)</x:f>
        <x:v>0</x:v>
      </x:c>
      <x:c r="Y32" s="25" t="n">
        <x:f>IFERROR(H32/F32,0)</x:f>
        <x:v>0</x:v>
      </x:c>
      <x:c r="Z32" s="25" t="n">
        <x:f>IFERROR(L32/F32,0)</x:f>
        <x:v>0</x:v>
      </x:c>
      <x:c r="AA32" s="25" t="n">
        <x:f>IFERROR(M32/L32,0)</x:f>
        <x:v>0</x:v>
      </x:c>
      <x:c r="AB32" s="25" t="n">
        <x:f>IFERROR(O32/N32,0)</x:f>
        <x:v>0</x:v>
      </x:c>
      <x:c r="AC32" s="25" t="n">
        <x:f>IFERROR(S32/O32,0)</x:f>
        <x:v>0</x:v>
      </x:c>
      <x:c r="AD32" s="27" t="n">
        <x:f>IFERROR(D32/N32,0)</x:f>
        <x:v>0</x:v>
      </x:c>
      <x:c r="AE32" s="25" t="n">
        <x:f>IFERROR(U32/O32,0)</x:f>
        <x:v>0</x:v>
      </x:c>
      <x:c r="AF32" s="25" t="n">
        <x:f>IFERROR((T32-D32)/D32,0)</x:f>
        <x:v>0</x:v>
      </x:c>
    </x:row>
    <x:row r="33" ht="44" customHeight="1">
      <x:c r="A33" s="22" t="n">
        <x:v>46278</x:v>
      </x:c>
      <x:c r="B33" s="23" t="str">
        <x:v>小红书</x:v>
      </x:c>
      <x:c r="C33" s="23" t="n">
        <x:v>0</x:v>
      </x:c>
      <x:c r="D33" s="26" t="n">
        <x:v>0</x:v>
      </x:c>
      <x:c r="E33" s="23" t="n">
        <x:v>0</x:v>
      </x:c>
      <x:c r="F33" s="23" t="n">
        <x:v>0</x:v>
      </x:c>
      <x:c r="G33" s="23" t="n">
        <x:v>0</x:v>
      </x:c>
      <x:c r="H33" s="23" t="n">
        <x:v>0</x:v>
      </x:c>
      <x:c r="I33" s="23" t="n">
        <x:v>0</x:v>
      </x:c>
      <x:c r="J33" s="23" t="n">
        <x:v>0</x:v>
      </x:c>
      <x:c r="K33" s="23" t="n">
        <x:v>0</x:v>
      </x:c>
      <x:c r="L33" s="23" t="n">
        <x:v>0</x:v>
      </x:c>
      <x:c r="M33" s="23" t="n">
        <x:v>0</x:v>
      </x:c>
      <x:c r="N33" s="23" t="n">
        <x:v>0</x:v>
      </x:c>
      <x:c r="O33" s="23" t="n">
        <x:v>0</x:v>
      </x:c>
      <x:c r="P33" s="23" t="n">
        <x:v>0</x:v>
      </x:c>
      <x:c r="Q33" s="23" t="n">
        <x:v>0</x:v>
      </x:c>
      <x:c r="R33" s="23" t="n">
        <x:v>0</x:v>
      </x:c>
      <x:c r="S33" s="23" t="n">
        <x:v>0</x:v>
      </x:c>
      <x:c r="T33" s="26" t="n">
        <x:v>0</x:v>
      </x:c>
      <x:c r="U33" s="23" t="n">
        <x:v>0</x:v>
      </x:c>
      <x:c r="V33" s="23" t="n">
        <x:v>0</x:v>
      </x:c>
      <x:c r="W33" s="24" t="n">
        <x:f>SUM(G33:J33)</x:f>
        <x:v>0</x:v>
      </x:c>
      <x:c r="X33" s="25" t="n">
        <x:f>IFERROR(W33/F33,0)</x:f>
        <x:v>0</x:v>
      </x:c>
      <x:c r="Y33" s="25" t="n">
        <x:f>IFERROR(H33/F33,0)</x:f>
        <x:v>0</x:v>
      </x:c>
      <x:c r="Z33" s="25" t="n">
        <x:f>IFERROR(L33/F33,0)</x:f>
        <x:v>0</x:v>
      </x:c>
      <x:c r="AA33" s="25" t="n">
        <x:f>IFERROR(M33/L33,0)</x:f>
        <x:v>0</x:v>
      </x:c>
      <x:c r="AB33" s="25" t="n">
        <x:f>IFERROR(O33/N33,0)</x:f>
        <x:v>0</x:v>
      </x:c>
      <x:c r="AC33" s="25" t="n">
        <x:f>IFERROR(S33/O33,0)</x:f>
        <x:v>0</x:v>
      </x:c>
      <x:c r="AD33" s="27" t="n">
        <x:f>IFERROR(D33/N33,0)</x:f>
        <x:v>0</x:v>
      </x:c>
      <x:c r="AE33" s="25" t="n">
        <x:f>IFERROR(U33/O33,0)</x:f>
        <x:v>0</x:v>
      </x:c>
      <x:c r="AF33" s="25" t="n">
        <x:f>IFERROR((T33-D33)/D33,0)</x:f>
        <x:v>0</x:v>
      </x:c>
    </x:row>
    <x:row r="34" ht="44" customHeight="1">
      <x:c r="A34" s="22" t="n">
        <x:v>46279</x:v>
      </x:c>
      <x:c r="B34" s="23" t="str">
        <x:v>小红书</x:v>
      </x:c>
      <x:c r="C34" s="23" t="n">
        <x:v>0</x:v>
      </x:c>
      <x:c r="D34" s="26" t="n">
        <x:v>0</x:v>
      </x:c>
      <x:c r="E34" s="23" t="n">
        <x:v>0</x:v>
      </x:c>
      <x:c r="F34" s="23" t="n">
        <x:v>0</x:v>
      </x:c>
      <x:c r="G34" s="23" t="n">
        <x:v>0</x:v>
      </x:c>
      <x:c r="H34" s="23" t="n">
        <x:v>0</x:v>
      </x:c>
      <x:c r="I34" s="23" t="n">
        <x:v>0</x:v>
      </x:c>
      <x:c r="J34" s="23" t="n">
        <x:v>0</x:v>
      </x:c>
      <x:c r="K34" s="23" t="n">
        <x:v>0</x:v>
      </x:c>
      <x:c r="L34" s="23" t="n">
        <x:v>0</x:v>
      </x:c>
      <x:c r="M34" s="23" t="n">
        <x:v>0</x:v>
      </x:c>
      <x:c r="N34" s="23" t="n">
        <x:v>0</x:v>
      </x:c>
      <x:c r="O34" s="23" t="n">
        <x:v>0</x:v>
      </x:c>
      <x:c r="P34" s="23" t="n">
        <x:v>0</x:v>
      </x:c>
      <x:c r="Q34" s="23" t="n">
        <x:v>0</x:v>
      </x:c>
      <x:c r="R34" s="23" t="n">
        <x:v>0</x:v>
      </x:c>
      <x:c r="S34" s="23" t="n">
        <x:v>0</x:v>
      </x:c>
      <x:c r="T34" s="26" t="n">
        <x:v>0</x:v>
      </x:c>
      <x:c r="U34" s="23" t="n">
        <x:v>0</x:v>
      </x:c>
      <x:c r="V34" s="23" t="n">
        <x:v>0</x:v>
      </x:c>
      <x:c r="W34" s="24" t="n">
        <x:f>SUM(G34:J34)</x:f>
        <x:v>0</x:v>
      </x:c>
      <x:c r="X34" s="25" t="n">
        <x:f>IFERROR(W34/F34,0)</x:f>
        <x:v>0</x:v>
      </x:c>
      <x:c r="Y34" s="25" t="n">
        <x:f>IFERROR(H34/F34,0)</x:f>
        <x:v>0</x:v>
      </x:c>
      <x:c r="Z34" s="25" t="n">
        <x:f>IFERROR(L34/F34,0)</x:f>
        <x:v>0</x:v>
      </x:c>
      <x:c r="AA34" s="25" t="n">
        <x:f>IFERROR(M34/L34,0)</x:f>
        <x:v>0</x:v>
      </x:c>
      <x:c r="AB34" s="25" t="n">
        <x:f>IFERROR(O34/N34,0)</x:f>
        <x:v>0</x:v>
      </x:c>
      <x:c r="AC34" s="25" t="n">
        <x:f>IFERROR(S34/O34,0)</x:f>
        <x:v>0</x:v>
      </x:c>
      <x:c r="AD34" s="27" t="n">
        <x:f>IFERROR(D34/N34,0)</x:f>
        <x:v>0</x:v>
      </x:c>
      <x:c r="AE34" s="25" t="n">
        <x:f>IFERROR(U34/O34,0)</x:f>
        <x:v>0</x:v>
      </x:c>
      <x:c r="AF34" s="25" t="n">
        <x:f>IFERROR((T34-D34)/D34,0)</x:f>
        <x:v>0</x:v>
      </x:c>
    </x:row>
    <x:row r="35" ht="44" customHeight="1">
      <x:c r="A35" s="22" t="n">
        <x:v>46280</x:v>
      </x:c>
      <x:c r="B35" s="23" t="str">
        <x:v>小红书</x:v>
      </x:c>
      <x:c r="C35" s="23" t="n">
        <x:v>0</x:v>
      </x:c>
      <x:c r="D35" s="26" t="n">
        <x:v>0</x:v>
      </x:c>
      <x:c r="E35" s="23" t="n">
        <x:v>0</x:v>
      </x:c>
      <x:c r="F35" s="23" t="n">
        <x:v>0</x:v>
      </x:c>
      <x:c r="G35" s="23" t="n">
        <x:v>0</x:v>
      </x:c>
      <x:c r="H35" s="23" t="n">
        <x:v>0</x:v>
      </x:c>
      <x:c r="I35" s="23" t="n">
        <x:v>0</x:v>
      </x:c>
      <x:c r="J35" s="23" t="n">
        <x:v>0</x:v>
      </x:c>
      <x:c r="K35" s="23" t="n">
        <x:v>0</x:v>
      </x:c>
      <x:c r="L35" s="23" t="n">
        <x:v>0</x:v>
      </x:c>
      <x:c r="M35" s="23" t="n">
        <x:v>0</x:v>
      </x:c>
      <x:c r="N35" s="23" t="n">
        <x:v>0</x:v>
      </x:c>
      <x:c r="O35" s="23" t="n">
        <x:v>0</x:v>
      </x:c>
      <x:c r="P35" s="23" t="n">
        <x:v>0</x:v>
      </x:c>
      <x:c r="Q35" s="23" t="n">
        <x:v>0</x:v>
      </x:c>
      <x:c r="R35" s="23" t="n">
        <x:v>0</x:v>
      </x:c>
      <x:c r="S35" s="23" t="n">
        <x:v>0</x:v>
      </x:c>
      <x:c r="T35" s="26" t="n">
        <x:v>0</x:v>
      </x:c>
      <x:c r="U35" s="23" t="n">
        <x:v>0</x:v>
      </x:c>
      <x:c r="V35" s="23" t="n">
        <x:v>0</x:v>
      </x:c>
      <x:c r="W35" s="24" t="n">
        <x:f>SUM(G35:J35)</x:f>
        <x:v>0</x:v>
      </x:c>
      <x:c r="X35" s="25" t="n">
        <x:f>IFERROR(W35/F35,0)</x:f>
        <x:v>0</x:v>
      </x:c>
      <x:c r="Y35" s="25" t="n">
        <x:f>IFERROR(H35/F35,0)</x:f>
        <x:v>0</x:v>
      </x:c>
      <x:c r="Z35" s="25" t="n">
        <x:f>IFERROR(L35/F35,0)</x:f>
        <x:v>0</x:v>
      </x:c>
      <x:c r="AA35" s="25" t="n">
        <x:f>IFERROR(M35/L35,0)</x:f>
        <x:v>0</x:v>
      </x:c>
      <x:c r="AB35" s="25" t="n">
        <x:f>IFERROR(O35/N35,0)</x:f>
        <x:v>0</x:v>
      </x:c>
      <x:c r="AC35" s="25" t="n">
        <x:f>IFERROR(S35/O35,0)</x:f>
        <x:v>0</x:v>
      </x:c>
      <x:c r="AD35" s="27" t="n">
        <x:f>IFERROR(D35/N35,0)</x:f>
        <x:v>0</x:v>
      </x:c>
      <x:c r="AE35" s="25" t="n">
        <x:f>IFERROR(U35/O35,0)</x:f>
        <x:v>0</x:v>
      </x:c>
      <x:c r="AF35" s="25" t="n">
        <x:f>IFERROR((T35-D35)/D35,0)</x:f>
        <x:v>0</x:v>
      </x:c>
    </x:row>
  </x:sheetData>
  <x:mergeCells>
    <x:mergeCell ref="A1:AF1"/>
    <x:mergeCell ref="A2:AF2"/>
  </x:mergeCells>
  <x:dataValidations count="1">
    <x:dataValidation type="list" sqref="B6:B35">
      <x:formula1>"小红书,Bilibili,微信公众号,视频号,抖音,知乎"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fde3762c7a643e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8" hidden="0" customWidth="1"/>
    <x:col min="5" max="5" width="14" hidden="0" customWidth="1"/>
    <x:col min="6" max="6" width="14" hidden="0" customWidth="1"/>
    <x:col min="7" max="7" width="38" hidden="0" customWidth="1"/>
    <x:col min="8" max="8" width="12" hidden="0" customWidth="1"/>
    <x:col min="9" max="9" width="12" hidden="0" customWidth="1"/>
    <x:col min="10" max="10" width="12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2" hidden="0" customWidth="1"/>
    <x:col min="16" max="16" width="12" hidden="0" customWidth="1"/>
    <x:col min="17" max="17" width="10" hidden="0" customWidth="1"/>
    <x:col min="18" max="18" width="10" hidden="0" customWidth="1"/>
    <x:col min="19" max="19" width="10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4" hidden="0" customWidth="1"/>
  </x:cols>
  <x:sheetData>
    <x:row r="1" ht="34" customHeight="1">
      <x:c r="A1" s="3" t="str">
        <x:v>内容表现明细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34" customHeight="1">
      <x:c r="A2" s="7" t="str">
        <x:v>A:T为输入；U:Z为公式。建议每条内容在发布后24小时、72小时和7天更新同一行的最终窗口数据。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</x:row>
    <x:row r="5" ht="30" customHeight="1">
      <x:c r="A5" s="13" t="str">
        <x:v>内容ID</x:v>
      </x:c>
      <x:c r="B5" s="13" t="str">
        <x:v>发布日期</x:v>
      </x:c>
      <x:c r="C5" s="13" t="str">
        <x:v>平台</x:v>
      </x:c>
      <x:c r="D5" s="13" t="str">
        <x:v>内容支柱</x:v>
      </x:c>
      <x:c r="E5" s="13" t="str">
        <x:v>形式</x:v>
      </x:c>
      <x:c r="F5" s="13" t="str">
        <x:v>用户</x:v>
      </x:c>
      <x:c r="G5" s="13" t="str">
        <x:v>标题</x:v>
      </x:c>
      <x:c r="H5" s="13" t="str">
        <x:v>花费</x:v>
      </x:c>
      <x:c r="I5" s="13" t="str">
        <x:v>曝光</x:v>
      </x:c>
      <x:c r="J5" s="13" t="str">
        <x:v>阅读</x:v>
      </x:c>
      <x:c r="K5" s="13" t="str">
        <x:v>点赞</x:v>
      </x:c>
      <x:c r="L5" s="13" t="str">
        <x:v>收藏</x:v>
      </x:c>
      <x:c r="M5" s="13" t="str">
        <x:v>评论</x:v>
      </x:c>
      <x:c r="N5" s="13" t="str">
        <x:v>分享</x:v>
      </x:c>
      <x:c r="O5" s="13" t="str">
        <x:v>主页访问</x:v>
      </x:c>
      <x:c r="P5" s="13" t="str">
        <x:v>有效线索</x:v>
      </x:c>
      <x:c r="Q5" s="13" t="str">
        <x:v>获客</x:v>
      </x:c>
      <x:c r="R5" s="13" t="str">
        <x:v>激活</x:v>
      </x:c>
      <x:c r="S5" s="13" t="str">
        <x:v>付费</x:v>
      </x:c>
      <x:c r="T5" s="13" t="str">
        <x:v>收入</x:v>
      </x:c>
      <x:c r="U5" s="13" t="str">
        <x:v>互动量</x:v>
      </x:c>
      <x:c r="V5" s="13" t="str">
        <x:v>互动率</x:v>
      </x:c>
      <x:c r="W5" s="13" t="str">
        <x:v>收藏率</x:v>
      </x:c>
      <x:c r="X5" s="13" t="str">
        <x:v>线索率</x:v>
      </x:c>
      <x:c r="Y5" s="13" t="str">
        <x:v>激活率</x:v>
      </x:c>
      <x:c r="Z5" s="13" t="str">
        <x:v>内容价值分</x:v>
      </x:c>
    </x:row>
    <x:row r="6" ht="44" customHeight="1">
      <x:c r="A6" s="23" t="str">
        <x:v>C-001</x:v>
      </x:c>
      <x:c r="B6" s="28"/>
      <x:c r="C6" s="23" t="str">
        <x:v>小红书</x:v>
      </x:c>
      <x:c r="D6" s="23" t="str"/>
      <x:c r="E6" s="23" t="str"/>
      <x:c r="F6" s="23" t="str"/>
      <x:c r="G6" s="23" t="str"/>
      <x:c r="H6" s="23" t="n">
        <x:v>0</x:v>
      </x:c>
      <x:c r="I6" s="23" t="n">
        <x:v>0</x:v>
      </x:c>
      <x:c r="J6" s="23" t="n">
        <x:v>0</x:v>
      </x:c>
      <x:c r="K6" s="23" t="n">
        <x:v>0</x:v>
      </x:c>
      <x:c r="L6" s="23" t="n">
        <x:v>0</x:v>
      </x:c>
      <x:c r="M6" s="23" t="n">
        <x:v>0</x:v>
      </x:c>
      <x:c r="N6" s="23" t="n">
        <x:v>0</x:v>
      </x:c>
      <x:c r="O6" s="23" t="n">
        <x:v>0</x:v>
      </x:c>
      <x:c r="P6" s="23" t="n">
        <x:v>0</x:v>
      </x:c>
      <x:c r="Q6" s="23" t="n">
        <x:v>0</x:v>
      </x:c>
      <x:c r="R6" s="23" t="n">
        <x:v>0</x:v>
      </x:c>
      <x:c r="S6" s="23" t="n">
        <x:v>0</x:v>
      </x:c>
      <x:c r="T6" s="23" t="n">
        <x:v>0</x:v>
      </x:c>
      <x:c r="U6" s="24" t="n">
        <x:f>SUM(K6:N6)</x:f>
        <x:v>0</x:v>
      </x:c>
      <x:c r="V6" s="25" t="n">
        <x:f>IFERROR(U6/J6,0)</x:f>
        <x:v>0</x:v>
      </x:c>
      <x:c r="W6" s="25" t="n">
        <x:f>IFERROR(L6/J6,0)</x:f>
        <x:v>0</x:v>
      </x:c>
      <x:c r="X6" s="25" t="n">
        <x:f>IFERROR(P6/O6,0)</x:f>
        <x:v>0</x:v>
      </x:c>
      <x:c r="Y6" s="25" t="n">
        <x:f>IFERROR(R6/Q6,0)</x:f>
        <x:v>0</x:v>
      </x:c>
      <x:c r="Z6" s="25" t="n">
        <x:f>IFERROR(V6*30%+W6*30%+X6*20%+Y6*20%,0)</x:f>
        <x:v>0</x:v>
      </x:c>
    </x:row>
    <x:row r="7" ht="44" customHeight="1">
      <x:c r="A7" s="23" t="str">
        <x:v>C-002</x:v>
      </x:c>
      <x:c r="B7" s="28"/>
      <x:c r="C7" s="23" t="str">
        <x:v>小红书</x:v>
      </x:c>
      <x:c r="D7" s="23" t="str"/>
      <x:c r="E7" s="23" t="str"/>
      <x:c r="F7" s="23" t="str"/>
      <x:c r="G7" s="23" t="str"/>
      <x:c r="H7" s="23" t="n">
        <x:v>0</x:v>
      </x:c>
      <x:c r="I7" s="23" t="n">
        <x:v>0</x:v>
      </x:c>
      <x:c r="J7" s="23" t="n">
        <x:v>0</x:v>
      </x:c>
      <x:c r="K7" s="23" t="n">
        <x:v>0</x:v>
      </x:c>
      <x:c r="L7" s="23" t="n">
        <x:v>0</x:v>
      </x:c>
      <x:c r="M7" s="23" t="n">
        <x:v>0</x:v>
      </x:c>
      <x:c r="N7" s="23" t="n">
        <x:v>0</x:v>
      </x:c>
      <x:c r="O7" s="23" t="n">
        <x:v>0</x:v>
      </x:c>
      <x:c r="P7" s="23" t="n">
        <x:v>0</x:v>
      </x:c>
      <x:c r="Q7" s="23" t="n">
        <x:v>0</x:v>
      </x:c>
      <x:c r="R7" s="23" t="n">
        <x:v>0</x:v>
      </x:c>
      <x:c r="S7" s="23" t="n">
        <x:v>0</x:v>
      </x:c>
      <x:c r="T7" s="23" t="n">
        <x:v>0</x:v>
      </x:c>
      <x:c r="U7" s="24" t="n">
        <x:f>SUM(K7:N7)</x:f>
        <x:v>0</x:v>
      </x:c>
      <x:c r="V7" s="25" t="n">
        <x:f>IFERROR(U7/J7,0)</x:f>
        <x:v>0</x:v>
      </x:c>
      <x:c r="W7" s="25" t="n">
        <x:f>IFERROR(L7/J7,0)</x:f>
        <x:v>0</x:v>
      </x:c>
      <x:c r="X7" s="25" t="n">
        <x:f>IFERROR(P7/O7,0)</x:f>
        <x:v>0</x:v>
      </x:c>
      <x:c r="Y7" s="25" t="n">
        <x:f>IFERROR(R7/Q7,0)</x:f>
        <x:v>0</x:v>
      </x:c>
      <x:c r="Z7" s="25" t="n">
        <x:f>IFERROR(V7*30%+W7*30%+X7*20%+Y7*20%,0)</x:f>
        <x:v>0</x:v>
      </x:c>
    </x:row>
    <x:row r="8" ht="44" customHeight="1">
      <x:c r="A8" s="23" t="str">
        <x:v>C-003</x:v>
      </x:c>
      <x:c r="B8" s="28"/>
      <x:c r="C8" s="23" t="str">
        <x:v>小红书</x:v>
      </x:c>
      <x:c r="D8" s="23" t="str"/>
      <x:c r="E8" s="23" t="str"/>
      <x:c r="F8" s="23" t="str"/>
      <x:c r="G8" s="23" t="str"/>
      <x:c r="H8" s="23" t="n">
        <x:v>0</x:v>
      </x:c>
      <x:c r="I8" s="23" t="n">
        <x:v>0</x:v>
      </x:c>
      <x:c r="J8" s="23" t="n">
        <x:v>0</x:v>
      </x:c>
      <x:c r="K8" s="23" t="n">
        <x:v>0</x:v>
      </x:c>
      <x:c r="L8" s="23" t="n">
        <x:v>0</x:v>
      </x:c>
      <x:c r="M8" s="23" t="n">
        <x:v>0</x:v>
      </x:c>
      <x:c r="N8" s="23" t="n">
        <x:v>0</x:v>
      </x:c>
      <x:c r="O8" s="23" t="n">
        <x:v>0</x:v>
      </x:c>
      <x:c r="P8" s="23" t="n">
        <x:v>0</x:v>
      </x:c>
      <x:c r="Q8" s="23" t="n">
        <x:v>0</x:v>
      </x:c>
      <x:c r="R8" s="23" t="n">
        <x:v>0</x:v>
      </x:c>
      <x:c r="S8" s="23" t="n">
        <x:v>0</x:v>
      </x:c>
      <x:c r="T8" s="23" t="n">
        <x:v>0</x:v>
      </x:c>
      <x:c r="U8" s="24" t="n">
        <x:f>SUM(K8:N8)</x:f>
        <x:v>0</x:v>
      </x:c>
      <x:c r="V8" s="25" t="n">
        <x:f>IFERROR(U8/J8,0)</x:f>
        <x:v>0</x:v>
      </x:c>
      <x:c r="W8" s="25" t="n">
        <x:f>IFERROR(L8/J8,0)</x:f>
        <x:v>0</x:v>
      </x:c>
      <x:c r="X8" s="25" t="n">
        <x:f>IFERROR(P8/O8,0)</x:f>
        <x:v>0</x:v>
      </x:c>
      <x:c r="Y8" s="25" t="n">
        <x:f>IFERROR(R8/Q8,0)</x:f>
        <x:v>0</x:v>
      </x:c>
      <x:c r="Z8" s="25" t="n">
        <x:f>IFERROR(V8*30%+W8*30%+X8*20%+Y8*20%,0)</x:f>
        <x:v>0</x:v>
      </x:c>
    </x:row>
    <x:row r="9" ht="44" customHeight="1">
      <x:c r="A9" s="23" t="str">
        <x:v>C-004</x:v>
      </x:c>
      <x:c r="B9" s="28"/>
      <x:c r="C9" s="23" t="str">
        <x:v>小红书</x:v>
      </x:c>
      <x:c r="D9" s="23" t="str"/>
      <x:c r="E9" s="23" t="str"/>
      <x:c r="F9" s="23" t="str"/>
      <x:c r="G9" s="23" t="str"/>
      <x:c r="H9" s="23" t="n">
        <x:v>0</x:v>
      </x:c>
      <x:c r="I9" s="23" t="n">
        <x:v>0</x:v>
      </x:c>
      <x:c r="J9" s="23" t="n">
        <x:v>0</x:v>
      </x:c>
      <x:c r="K9" s="23" t="n">
        <x:v>0</x:v>
      </x:c>
      <x:c r="L9" s="23" t="n">
        <x:v>0</x:v>
      </x:c>
      <x:c r="M9" s="23" t="n">
        <x:v>0</x:v>
      </x:c>
      <x:c r="N9" s="23" t="n">
        <x:v>0</x:v>
      </x:c>
      <x:c r="O9" s="23" t="n">
        <x:v>0</x:v>
      </x:c>
      <x:c r="P9" s="23" t="n">
        <x:v>0</x:v>
      </x:c>
      <x:c r="Q9" s="23" t="n">
        <x:v>0</x:v>
      </x:c>
      <x:c r="R9" s="23" t="n">
        <x:v>0</x:v>
      </x:c>
      <x:c r="S9" s="23" t="n">
        <x:v>0</x:v>
      </x:c>
      <x:c r="T9" s="23" t="n">
        <x:v>0</x:v>
      </x:c>
      <x:c r="U9" s="24" t="n">
        <x:f>SUM(K9:N9)</x:f>
        <x:v>0</x:v>
      </x:c>
      <x:c r="V9" s="25" t="n">
        <x:f>IFERROR(U9/J9,0)</x:f>
        <x:v>0</x:v>
      </x:c>
      <x:c r="W9" s="25" t="n">
        <x:f>IFERROR(L9/J9,0)</x:f>
        <x:v>0</x:v>
      </x:c>
      <x:c r="X9" s="25" t="n">
        <x:f>IFERROR(P9/O9,0)</x:f>
        <x:v>0</x:v>
      </x:c>
      <x:c r="Y9" s="25" t="n">
        <x:f>IFERROR(R9/Q9,0)</x:f>
        <x:v>0</x:v>
      </x:c>
      <x:c r="Z9" s="25" t="n">
        <x:f>IFERROR(V9*30%+W9*30%+X9*20%+Y9*20%,0)</x:f>
        <x:v>0</x:v>
      </x:c>
    </x:row>
    <x:row r="10" ht="44" customHeight="1">
      <x:c r="A10" s="23" t="str">
        <x:v>C-005</x:v>
      </x:c>
      <x:c r="B10" s="28"/>
      <x:c r="C10" s="23" t="str">
        <x:v>小红书</x:v>
      </x:c>
      <x:c r="D10" s="23" t="str"/>
      <x:c r="E10" s="23" t="str"/>
      <x:c r="F10" s="23" t="str"/>
      <x:c r="G10" s="23" t="str"/>
      <x:c r="H10" s="23" t="n">
        <x:v>0</x:v>
      </x:c>
      <x:c r="I10" s="23" t="n">
        <x:v>0</x:v>
      </x:c>
      <x:c r="J10" s="23" t="n">
        <x:v>0</x:v>
      </x:c>
      <x:c r="K10" s="23" t="n">
        <x:v>0</x:v>
      </x:c>
      <x:c r="L10" s="23" t="n">
        <x:v>0</x:v>
      </x:c>
      <x:c r="M10" s="23" t="n">
        <x:v>0</x:v>
      </x:c>
      <x:c r="N10" s="23" t="n">
        <x:v>0</x:v>
      </x:c>
      <x:c r="O10" s="23" t="n">
        <x:v>0</x:v>
      </x:c>
      <x:c r="P10" s="23" t="n">
        <x:v>0</x:v>
      </x:c>
      <x:c r="Q10" s="23" t="n">
        <x:v>0</x:v>
      </x:c>
      <x:c r="R10" s="23" t="n">
        <x:v>0</x:v>
      </x:c>
      <x:c r="S10" s="23" t="n">
        <x:v>0</x:v>
      </x:c>
      <x:c r="T10" s="23" t="n">
        <x:v>0</x:v>
      </x:c>
      <x:c r="U10" s="24" t="n">
        <x:f>SUM(K10:N10)</x:f>
        <x:v>0</x:v>
      </x:c>
      <x:c r="V10" s="25" t="n">
        <x:f>IFERROR(U10/J10,0)</x:f>
        <x:v>0</x:v>
      </x:c>
      <x:c r="W10" s="25" t="n">
        <x:f>IFERROR(L10/J10,0)</x:f>
        <x:v>0</x:v>
      </x:c>
      <x:c r="X10" s="25" t="n">
        <x:f>IFERROR(P10/O10,0)</x:f>
        <x:v>0</x:v>
      </x:c>
      <x:c r="Y10" s="25" t="n">
        <x:f>IFERROR(R10/Q10,0)</x:f>
        <x:v>0</x:v>
      </x:c>
      <x:c r="Z10" s="25" t="n">
        <x:f>IFERROR(V10*30%+W10*30%+X10*20%+Y10*20%,0)</x:f>
        <x:v>0</x:v>
      </x:c>
    </x:row>
    <x:row r="11" ht="44" customHeight="1">
      <x:c r="A11" s="23" t="str">
        <x:v>C-006</x:v>
      </x:c>
      <x:c r="B11" s="28"/>
      <x:c r="C11" s="23" t="str">
        <x:v>小红书</x:v>
      </x:c>
      <x:c r="D11" s="23" t="str"/>
      <x:c r="E11" s="23" t="str"/>
      <x:c r="F11" s="23" t="str"/>
      <x:c r="G11" s="23" t="str"/>
      <x:c r="H11" s="23" t="n">
        <x:v>0</x:v>
      </x:c>
      <x:c r="I11" s="23" t="n">
        <x:v>0</x:v>
      </x:c>
      <x:c r="J11" s="23" t="n">
        <x:v>0</x:v>
      </x:c>
      <x:c r="K11" s="23" t="n">
        <x:v>0</x:v>
      </x:c>
      <x:c r="L11" s="23" t="n">
        <x:v>0</x:v>
      </x:c>
      <x:c r="M11" s="23" t="n">
        <x:v>0</x:v>
      </x:c>
      <x:c r="N11" s="23" t="n">
        <x:v>0</x:v>
      </x:c>
      <x:c r="O11" s="23" t="n">
        <x:v>0</x:v>
      </x:c>
      <x:c r="P11" s="23" t="n">
        <x:v>0</x:v>
      </x:c>
      <x:c r="Q11" s="23" t="n">
        <x:v>0</x:v>
      </x:c>
      <x:c r="R11" s="23" t="n">
        <x:v>0</x:v>
      </x:c>
      <x:c r="S11" s="23" t="n">
        <x:v>0</x:v>
      </x:c>
      <x:c r="T11" s="23" t="n">
        <x:v>0</x:v>
      </x:c>
      <x:c r="U11" s="24" t="n">
        <x:f>SUM(K11:N11)</x:f>
        <x:v>0</x:v>
      </x:c>
      <x:c r="V11" s="25" t="n">
        <x:f>IFERROR(U11/J11,0)</x:f>
        <x:v>0</x:v>
      </x:c>
      <x:c r="W11" s="25" t="n">
        <x:f>IFERROR(L11/J11,0)</x:f>
        <x:v>0</x:v>
      </x:c>
      <x:c r="X11" s="25" t="n">
        <x:f>IFERROR(P11/O11,0)</x:f>
        <x:v>0</x:v>
      </x:c>
      <x:c r="Y11" s="25" t="n">
        <x:f>IFERROR(R11/Q11,0)</x:f>
        <x:v>0</x:v>
      </x:c>
      <x:c r="Z11" s="25" t="n">
        <x:f>IFERROR(V11*30%+W11*30%+X11*20%+Y11*20%,0)</x:f>
        <x:v>0</x:v>
      </x:c>
    </x:row>
    <x:row r="12" ht="44" customHeight="1">
      <x:c r="A12" s="23" t="str">
        <x:v>C-007</x:v>
      </x:c>
      <x:c r="B12" s="28"/>
      <x:c r="C12" s="23" t="str">
        <x:v>小红书</x:v>
      </x:c>
      <x:c r="D12" s="23" t="str"/>
      <x:c r="E12" s="23" t="str"/>
      <x:c r="F12" s="23" t="str"/>
      <x:c r="G12" s="23" t="str"/>
      <x:c r="H12" s="23" t="n">
        <x:v>0</x:v>
      </x:c>
      <x:c r="I12" s="23" t="n">
        <x:v>0</x:v>
      </x:c>
      <x:c r="J12" s="23" t="n">
        <x:v>0</x:v>
      </x:c>
      <x:c r="K12" s="23" t="n">
        <x:v>0</x:v>
      </x:c>
      <x:c r="L12" s="23" t="n">
        <x:v>0</x:v>
      </x:c>
      <x:c r="M12" s="23" t="n">
        <x:v>0</x:v>
      </x:c>
      <x:c r="N12" s="23" t="n">
        <x:v>0</x:v>
      </x:c>
      <x:c r="O12" s="23" t="n">
        <x:v>0</x:v>
      </x:c>
      <x:c r="P12" s="23" t="n">
        <x:v>0</x:v>
      </x:c>
      <x:c r="Q12" s="23" t="n">
        <x:v>0</x:v>
      </x:c>
      <x:c r="R12" s="23" t="n">
        <x:v>0</x:v>
      </x:c>
      <x:c r="S12" s="23" t="n">
        <x:v>0</x:v>
      </x:c>
      <x:c r="T12" s="23" t="n">
        <x:v>0</x:v>
      </x:c>
      <x:c r="U12" s="24" t="n">
        <x:f>SUM(K12:N12)</x:f>
        <x:v>0</x:v>
      </x:c>
      <x:c r="V12" s="25" t="n">
        <x:f>IFERROR(U12/J12,0)</x:f>
        <x:v>0</x:v>
      </x:c>
      <x:c r="W12" s="25" t="n">
        <x:f>IFERROR(L12/J12,0)</x:f>
        <x:v>0</x:v>
      </x:c>
      <x:c r="X12" s="25" t="n">
        <x:f>IFERROR(P12/O12,0)</x:f>
        <x:v>0</x:v>
      </x:c>
      <x:c r="Y12" s="25" t="n">
        <x:f>IFERROR(R12/Q12,0)</x:f>
        <x:v>0</x:v>
      </x:c>
      <x:c r="Z12" s="25" t="n">
        <x:f>IFERROR(V12*30%+W12*30%+X12*20%+Y12*20%,0)</x:f>
        <x:v>0</x:v>
      </x:c>
    </x:row>
    <x:row r="13" ht="44" customHeight="1">
      <x:c r="A13" s="23" t="str">
        <x:v>C-008</x:v>
      </x:c>
      <x:c r="B13" s="28"/>
      <x:c r="C13" s="23" t="str">
        <x:v>小红书</x:v>
      </x:c>
      <x:c r="D13" s="23" t="str"/>
      <x:c r="E13" s="23" t="str"/>
      <x:c r="F13" s="23" t="str"/>
      <x:c r="G13" s="23" t="str"/>
      <x:c r="H13" s="23" t="n">
        <x:v>0</x:v>
      </x:c>
      <x:c r="I13" s="23" t="n">
        <x:v>0</x:v>
      </x:c>
      <x:c r="J13" s="23" t="n">
        <x:v>0</x:v>
      </x:c>
      <x:c r="K13" s="23" t="n">
        <x:v>0</x:v>
      </x:c>
      <x:c r="L13" s="23" t="n">
        <x:v>0</x:v>
      </x:c>
      <x:c r="M13" s="23" t="n">
        <x:v>0</x:v>
      </x:c>
      <x:c r="N13" s="23" t="n">
        <x:v>0</x:v>
      </x:c>
      <x:c r="O13" s="23" t="n">
        <x:v>0</x:v>
      </x:c>
      <x:c r="P13" s="23" t="n">
        <x:v>0</x:v>
      </x:c>
      <x:c r="Q13" s="23" t="n">
        <x:v>0</x:v>
      </x:c>
      <x:c r="R13" s="23" t="n">
        <x:v>0</x:v>
      </x:c>
      <x:c r="S13" s="23" t="n">
        <x:v>0</x:v>
      </x:c>
      <x:c r="T13" s="23" t="n">
        <x:v>0</x:v>
      </x:c>
      <x:c r="U13" s="24" t="n">
        <x:f>SUM(K13:N13)</x:f>
        <x:v>0</x:v>
      </x:c>
      <x:c r="V13" s="25" t="n">
        <x:f>IFERROR(U13/J13,0)</x:f>
        <x:v>0</x:v>
      </x:c>
      <x:c r="W13" s="25" t="n">
        <x:f>IFERROR(L13/J13,0)</x:f>
        <x:v>0</x:v>
      </x:c>
      <x:c r="X13" s="25" t="n">
        <x:f>IFERROR(P13/O13,0)</x:f>
        <x:v>0</x:v>
      </x:c>
      <x:c r="Y13" s="25" t="n">
        <x:f>IFERROR(R13/Q13,0)</x:f>
        <x:v>0</x:v>
      </x:c>
      <x:c r="Z13" s="25" t="n">
        <x:f>IFERROR(V13*30%+W13*30%+X13*20%+Y13*20%,0)</x:f>
        <x:v>0</x:v>
      </x:c>
    </x:row>
    <x:row r="14" ht="44" customHeight="1">
      <x:c r="A14" s="23" t="str">
        <x:v>C-009</x:v>
      </x:c>
      <x:c r="B14" s="28"/>
      <x:c r="C14" s="23" t="str">
        <x:v>小红书</x:v>
      </x:c>
      <x:c r="D14" s="23" t="str"/>
      <x:c r="E14" s="23" t="str"/>
      <x:c r="F14" s="23" t="str"/>
      <x:c r="G14" s="23" t="str"/>
      <x:c r="H14" s="23" t="n">
        <x:v>0</x:v>
      </x:c>
      <x:c r="I14" s="23" t="n">
        <x:v>0</x:v>
      </x:c>
      <x:c r="J14" s="23" t="n">
        <x:v>0</x:v>
      </x:c>
      <x:c r="K14" s="23" t="n">
        <x:v>0</x:v>
      </x:c>
      <x:c r="L14" s="23" t="n">
        <x:v>0</x:v>
      </x:c>
      <x:c r="M14" s="23" t="n">
        <x:v>0</x:v>
      </x:c>
      <x:c r="N14" s="23" t="n">
        <x:v>0</x:v>
      </x:c>
      <x:c r="O14" s="23" t="n">
        <x:v>0</x:v>
      </x:c>
      <x:c r="P14" s="23" t="n">
        <x:v>0</x:v>
      </x:c>
      <x:c r="Q14" s="23" t="n">
        <x:v>0</x:v>
      </x:c>
      <x:c r="R14" s="23" t="n">
        <x:v>0</x:v>
      </x:c>
      <x:c r="S14" s="23" t="n">
        <x:v>0</x:v>
      </x:c>
      <x:c r="T14" s="23" t="n">
        <x:v>0</x:v>
      </x:c>
      <x:c r="U14" s="24" t="n">
        <x:f>SUM(K14:N14)</x:f>
        <x:v>0</x:v>
      </x:c>
      <x:c r="V14" s="25" t="n">
        <x:f>IFERROR(U14/J14,0)</x:f>
        <x:v>0</x:v>
      </x:c>
      <x:c r="W14" s="25" t="n">
        <x:f>IFERROR(L14/J14,0)</x:f>
        <x:v>0</x:v>
      </x:c>
      <x:c r="X14" s="25" t="n">
        <x:f>IFERROR(P14/O14,0)</x:f>
        <x:v>0</x:v>
      </x:c>
      <x:c r="Y14" s="25" t="n">
        <x:f>IFERROR(R14/Q14,0)</x:f>
        <x:v>0</x:v>
      </x:c>
      <x:c r="Z14" s="25" t="n">
        <x:f>IFERROR(V14*30%+W14*30%+X14*20%+Y14*20%,0)</x:f>
        <x:v>0</x:v>
      </x:c>
    </x:row>
    <x:row r="15" ht="44" customHeight="1">
      <x:c r="A15" s="23" t="str">
        <x:v>C-010</x:v>
      </x:c>
      <x:c r="B15" s="28"/>
      <x:c r="C15" s="23" t="str">
        <x:v>小红书</x:v>
      </x:c>
      <x:c r="D15" s="23" t="str"/>
      <x:c r="E15" s="23" t="str"/>
      <x:c r="F15" s="23" t="str"/>
      <x:c r="G15" s="23" t="str"/>
      <x:c r="H15" s="23" t="n">
        <x:v>0</x:v>
      </x:c>
      <x:c r="I15" s="23" t="n">
        <x:v>0</x:v>
      </x:c>
      <x:c r="J15" s="23" t="n">
        <x:v>0</x:v>
      </x:c>
      <x:c r="K15" s="23" t="n">
        <x:v>0</x:v>
      </x:c>
      <x:c r="L15" s="23" t="n">
        <x:v>0</x:v>
      </x:c>
      <x:c r="M15" s="23" t="n">
        <x:v>0</x:v>
      </x:c>
      <x:c r="N15" s="23" t="n">
        <x:v>0</x:v>
      </x:c>
      <x:c r="O15" s="23" t="n">
        <x:v>0</x:v>
      </x:c>
      <x:c r="P15" s="23" t="n">
        <x:v>0</x:v>
      </x:c>
      <x:c r="Q15" s="23" t="n">
        <x:v>0</x:v>
      </x:c>
      <x:c r="R15" s="23" t="n">
        <x:v>0</x:v>
      </x:c>
      <x:c r="S15" s="23" t="n">
        <x:v>0</x:v>
      </x:c>
      <x:c r="T15" s="23" t="n">
        <x:v>0</x:v>
      </x:c>
      <x:c r="U15" s="24" t="n">
        <x:f>SUM(K15:N15)</x:f>
        <x:v>0</x:v>
      </x:c>
      <x:c r="V15" s="25" t="n">
        <x:f>IFERROR(U15/J15,0)</x:f>
        <x:v>0</x:v>
      </x:c>
      <x:c r="W15" s="25" t="n">
        <x:f>IFERROR(L15/J15,0)</x:f>
        <x:v>0</x:v>
      </x:c>
      <x:c r="X15" s="25" t="n">
        <x:f>IFERROR(P15/O15,0)</x:f>
        <x:v>0</x:v>
      </x:c>
      <x:c r="Y15" s="25" t="n">
        <x:f>IFERROR(R15/Q15,0)</x:f>
        <x:v>0</x:v>
      </x:c>
      <x:c r="Z15" s="25" t="n">
        <x:f>IFERROR(V15*30%+W15*30%+X15*20%+Y15*20%,0)</x:f>
        <x:v>0</x:v>
      </x:c>
    </x:row>
    <x:row r="16" ht="44" customHeight="1">
      <x:c r="A16" s="23" t="str">
        <x:v>C-011</x:v>
      </x:c>
      <x:c r="B16" s="28"/>
      <x:c r="C16" s="23" t="str">
        <x:v>小红书</x:v>
      </x:c>
      <x:c r="D16" s="23" t="str"/>
      <x:c r="E16" s="23" t="str"/>
      <x:c r="F16" s="23" t="str"/>
      <x:c r="G16" s="23" t="str"/>
      <x:c r="H16" s="23" t="n">
        <x:v>0</x:v>
      </x:c>
      <x:c r="I16" s="23" t="n">
        <x:v>0</x:v>
      </x:c>
      <x:c r="J16" s="23" t="n">
        <x:v>0</x:v>
      </x:c>
      <x:c r="K16" s="23" t="n">
        <x:v>0</x:v>
      </x:c>
      <x:c r="L16" s="23" t="n">
        <x:v>0</x:v>
      </x:c>
      <x:c r="M16" s="23" t="n">
        <x:v>0</x:v>
      </x:c>
      <x:c r="N16" s="23" t="n">
        <x:v>0</x:v>
      </x:c>
      <x:c r="O16" s="23" t="n">
        <x:v>0</x:v>
      </x:c>
      <x:c r="P16" s="23" t="n">
        <x:v>0</x:v>
      </x:c>
      <x:c r="Q16" s="23" t="n">
        <x:v>0</x:v>
      </x:c>
      <x:c r="R16" s="23" t="n">
        <x:v>0</x:v>
      </x:c>
      <x:c r="S16" s="23" t="n">
        <x:v>0</x:v>
      </x:c>
      <x:c r="T16" s="23" t="n">
        <x:v>0</x:v>
      </x:c>
      <x:c r="U16" s="24" t="n">
        <x:f>SUM(K16:N16)</x:f>
        <x:v>0</x:v>
      </x:c>
      <x:c r="V16" s="25" t="n">
        <x:f>IFERROR(U16/J16,0)</x:f>
        <x:v>0</x:v>
      </x:c>
      <x:c r="W16" s="25" t="n">
        <x:f>IFERROR(L16/J16,0)</x:f>
        <x:v>0</x:v>
      </x:c>
      <x:c r="X16" s="25" t="n">
        <x:f>IFERROR(P16/O16,0)</x:f>
        <x:v>0</x:v>
      </x:c>
      <x:c r="Y16" s="25" t="n">
        <x:f>IFERROR(R16/Q16,0)</x:f>
        <x:v>0</x:v>
      </x:c>
      <x:c r="Z16" s="25" t="n">
        <x:f>IFERROR(V16*30%+W16*30%+X16*20%+Y16*20%,0)</x:f>
        <x:v>0</x:v>
      </x:c>
    </x:row>
    <x:row r="17" ht="44" customHeight="1">
      <x:c r="A17" s="23" t="str">
        <x:v>C-012</x:v>
      </x:c>
      <x:c r="B17" s="28"/>
      <x:c r="C17" s="23" t="str">
        <x:v>小红书</x:v>
      </x:c>
      <x:c r="D17" s="23" t="str"/>
      <x:c r="E17" s="23" t="str"/>
      <x:c r="F17" s="23" t="str"/>
      <x:c r="G17" s="23" t="str"/>
      <x:c r="H17" s="23" t="n">
        <x:v>0</x:v>
      </x:c>
      <x:c r="I17" s="23" t="n">
        <x:v>0</x:v>
      </x:c>
      <x:c r="J17" s="23" t="n">
        <x:v>0</x:v>
      </x:c>
      <x:c r="K17" s="23" t="n">
        <x:v>0</x:v>
      </x:c>
      <x:c r="L17" s="23" t="n">
        <x:v>0</x:v>
      </x:c>
      <x:c r="M17" s="23" t="n">
        <x:v>0</x:v>
      </x:c>
      <x:c r="N17" s="23" t="n">
        <x:v>0</x:v>
      </x:c>
      <x:c r="O17" s="23" t="n">
        <x:v>0</x:v>
      </x:c>
      <x:c r="P17" s="23" t="n">
        <x:v>0</x:v>
      </x:c>
      <x:c r="Q17" s="23" t="n">
        <x:v>0</x:v>
      </x:c>
      <x:c r="R17" s="23" t="n">
        <x:v>0</x:v>
      </x:c>
      <x:c r="S17" s="23" t="n">
        <x:v>0</x:v>
      </x:c>
      <x:c r="T17" s="23" t="n">
        <x:v>0</x:v>
      </x:c>
      <x:c r="U17" s="24" t="n">
        <x:f>SUM(K17:N17)</x:f>
        <x:v>0</x:v>
      </x:c>
      <x:c r="V17" s="25" t="n">
        <x:f>IFERROR(U17/J17,0)</x:f>
        <x:v>0</x:v>
      </x:c>
      <x:c r="W17" s="25" t="n">
        <x:f>IFERROR(L17/J17,0)</x:f>
        <x:v>0</x:v>
      </x:c>
      <x:c r="X17" s="25" t="n">
        <x:f>IFERROR(P17/O17,0)</x:f>
        <x:v>0</x:v>
      </x:c>
      <x:c r="Y17" s="25" t="n">
        <x:f>IFERROR(R17/Q17,0)</x:f>
        <x:v>0</x:v>
      </x:c>
      <x:c r="Z17" s="25" t="n">
        <x:f>IFERROR(V17*30%+W17*30%+X17*20%+Y17*20%,0)</x:f>
        <x:v>0</x:v>
      </x:c>
    </x:row>
    <x:row r="18" ht="44" customHeight="1">
      <x:c r="A18" s="23" t="str">
        <x:v>C-013</x:v>
      </x:c>
      <x:c r="B18" s="28"/>
      <x:c r="C18" s="23" t="str">
        <x:v>小红书</x:v>
      </x:c>
      <x:c r="D18" s="23" t="str"/>
      <x:c r="E18" s="23" t="str"/>
      <x:c r="F18" s="23" t="str"/>
      <x:c r="G18" s="23" t="str"/>
      <x:c r="H18" s="23" t="n">
        <x:v>0</x:v>
      </x:c>
      <x:c r="I18" s="23" t="n">
        <x:v>0</x:v>
      </x:c>
      <x:c r="J18" s="23" t="n">
        <x:v>0</x:v>
      </x:c>
      <x:c r="K18" s="23" t="n">
        <x:v>0</x:v>
      </x:c>
      <x:c r="L18" s="23" t="n">
        <x:v>0</x:v>
      </x:c>
      <x:c r="M18" s="23" t="n">
        <x:v>0</x:v>
      </x:c>
      <x:c r="N18" s="23" t="n">
        <x:v>0</x:v>
      </x:c>
      <x:c r="O18" s="23" t="n">
        <x:v>0</x:v>
      </x:c>
      <x:c r="P18" s="23" t="n">
        <x:v>0</x:v>
      </x:c>
      <x:c r="Q18" s="23" t="n">
        <x:v>0</x:v>
      </x:c>
      <x:c r="R18" s="23" t="n">
        <x:v>0</x:v>
      </x:c>
      <x:c r="S18" s="23" t="n">
        <x:v>0</x:v>
      </x:c>
      <x:c r="T18" s="23" t="n">
        <x:v>0</x:v>
      </x:c>
      <x:c r="U18" s="24" t="n">
        <x:f>SUM(K18:N18)</x:f>
        <x:v>0</x:v>
      </x:c>
      <x:c r="V18" s="25" t="n">
        <x:f>IFERROR(U18/J18,0)</x:f>
        <x:v>0</x:v>
      </x:c>
      <x:c r="W18" s="25" t="n">
        <x:f>IFERROR(L18/J18,0)</x:f>
        <x:v>0</x:v>
      </x:c>
      <x:c r="X18" s="25" t="n">
        <x:f>IFERROR(P18/O18,0)</x:f>
        <x:v>0</x:v>
      </x:c>
      <x:c r="Y18" s="25" t="n">
        <x:f>IFERROR(R18/Q18,0)</x:f>
        <x:v>0</x:v>
      </x:c>
      <x:c r="Z18" s="25" t="n">
        <x:f>IFERROR(V18*30%+W18*30%+X18*20%+Y18*20%,0)</x:f>
        <x:v>0</x:v>
      </x:c>
    </x:row>
    <x:row r="19" ht="44" customHeight="1">
      <x:c r="A19" s="23" t="str">
        <x:v>C-014</x:v>
      </x:c>
      <x:c r="B19" s="28"/>
      <x:c r="C19" s="23" t="str">
        <x:v>小红书</x:v>
      </x:c>
      <x:c r="D19" s="23" t="str"/>
      <x:c r="E19" s="23" t="str"/>
      <x:c r="F19" s="23" t="str"/>
      <x:c r="G19" s="23" t="str"/>
      <x:c r="H19" s="23" t="n">
        <x:v>0</x:v>
      </x:c>
      <x:c r="I19" s="23" t="n">
        <x:v>0</x:v>
      </x:c>
      <x:c r="J19" s="23" t="n">
        <x:v>0</x:v>
      </x:c>
      <x:c r="K19" s="23" t="n">
        <x:v>0</x:v>
      </x:c>
      <x:c r="L19" s="23" t="n">
        <x:v>0</x:v>
      </x:c>
      <x:c r="M19" s="23" t="n">
        <x:v>0</x:v>
      </x:c>
      <x:c r="N19" s="23" t="n">
        <x:v>0</x:v>
      </x:c>
      <x:c r="O19" s="23" t="n">
        <x:v>0</x:v>
      </x:c>
      <x:c r="P19" s="23" t="n">
        <x:v>0</x:v>
      </x:c>
      <x:c r="Q19" s="23" t="n">
        <x:v>0</x:v>
      </x:c>
      <x:c r="R19" s="23" t="n">
        <x:v>0</x:v>
      </x:c>
      <x:c r="S19" s="23" t="n">
        <x:v>0</x:v>
      </x:c>
      <x:c r="T19" s="23" t="n">
        <x:v>0</x:v>
      </x:c>
      <x:c r="U19" s="24" t="n">
        <x:f>SUM(K19:N19)</x:f>
        <x:v>0</x:v>
      </x:c>
      <x:c r="V19" s="25" t="n">
        <x:f>IFERROR(U19/J19,0)</x:f>
        <x:v>0</x:v>
      </x:c>
      <x:c r="W19" s="25" t="n">
        <x:f>IFERROR(L19/J19,0)</x:f>
        <x:v>0</x:v>
      </x:c>
      <x:c r="X19" s="25" t="n">
        <x:f>IFERROR(P19/O19,0)</x:f>
        <x:v>0</x:v>
      </x:c>
      <x:c r="Y19" s="25" t="n">
        <x:f>IFERROR(R19/Q19,0)</x:f>
        <x:v>0</x:v>
      </x:c>
      <x:c r="Z19" s="25" t="n">
        <x:f>IFERROR(V19*30%+W19*30%+X19*20%+Y19*20%,0)</x:f>
        <x:v>0</x:v>
      </x:c>
    </x:row>
    <x:row r="20" ht="44" customHeight="1">
      <x:c r="A20" s="23" t="str">
        <x:v>C-015</x:v>
      </x:c>
      <x:c r="B20" s="28"/>
      <x:c r="C20" s="23" t="str">
        <x:v>小红书</x:v>
      </x:c>
      <x:c r="D20" s="23" t="str"/>
      <x:c r="E20" s="23" t="str"/>
      <x:c r="F20" s="23" t="str"/>
      <x:c r="G20" s="23" t="str"/>
      <x:c r="H20" s="23" t="n">
        <x:v>0</x:v>
      </x:c>
      <x:c r="I20" s="23" t="n">
        <x:v>0</x:v>
      </x:c>
      <x:c r="J20" s="23" t="n">
        <x:v>0</x:v>
      </x:c>
      <x:c r="K20" s="23" t="n">
        <x:v>0</x:v>
      </x:c>
      <x:c r="L20" s="23" t="n">
        <x:v>0</x:v>
      </x:c>
      <x:c r="M20" s="23" t="n">
        <x:v>0</x:v>
      </x:c>
      <x:c r="N20" s="23" t="n">
        <x:v>0</x:v>
      </x:c>
      <x:c r="O20" s="23" t="n">
        <x:v>0</x:v>
      </x:c>
      <x:c r="P20" s="23" t="n">
        <x:v>0</x:v>
      </x:c>
      <x:c r="Q20" s="23" t="n">
        <x:v>0</x:v>
      </x:c>
      <x:c r="R20" s="23" t="n">
        <x:v>0</x:v>
      </x:c>
      <x:c r="S20" s="23" t="n">
        <x:v>0</x:v>
      </x:c>
      <x:c r="T20" s="23" t="n">
        <x:v>0</x:v>
      </x:c>
      <x:c r="U20" s="24" t="n">
        <x:f>SUM(K20:N20)</x:f>
        <x:v>0</x:v>
      </x:c>
      <x:c r="V20" s="25" t="n">
        <x:f>IFERROR(U20/J20,0)</x:f>
        <x:v>0</x:v>
      </x:c>
      <x:c r="W20" s="25" t="n">
        <x:f>IFERROR(L20/J20,0)</x:f>
        <x:v>0</x:v>
      </x:c>
      <x:c r="X20" s="25" t="n">
        <x:f>IFERROR(P20/O20,0)</x:f>
        <x:v>0</x:v>
      </x:c>
      <x:c r="Y20" s="25" t="n">
        <x:f>IFERROR(R20/Q20,0)</x:f>
        <x:v>0</x:v>
      </x:c>
      <x:c r="Z20" s="25" t="n">
        <x:f>IFERROR(V20*30%+W20*30%+X20*20%+Y20*20%,0)</x:f>
        <x:v>0</x:v>
      </x:c>
    </x:row>
    <x:row r="21" ht="44" customHeight="1">
      <x:c r="A21" s="23" t="str">
        <x:v>C-016</x:v>
      </x:c>
      <x:c r="B21" s="28"/>
      <x:c r="C21" s="23" t="str">
        <x:v>小红书</x:v>
      </x:c>
      <x:c r="D21" s="23" t="str"/>
      <x:c r="E21" s="23" t="str"/>
      <x:c r="F21" s="23" t="str"/>
      <x:c r="G21" s="23" t="str"/>
      <x:c r="H21" s="23" t="n">
        <x:v>0</x:v>
      </x:c>
      <x:c r="I21" s="23" t="n">
        <x:v>0</x:v>
      </x:c>
      <x:c r="J21" s="23" t="n">
        <x:v>0</x:v>
      </x:c>
      <x:c r="K21" s="23" t="n">
        <x:v>0</x:v>
      </x:c>
      <x:c r="L21" s="23" t="n">
        <x:v>0</x:v>
      </x:c>
      <x:c r="M21" s="23" t="n">
        <x:v>0</x:v>
      </x:c>
      <x:c r="N21" s="23" t="n">
        <x:v>0</x:v>
      </x:c>
      <x:c r="O21" s="23" t="n">
        <x:v>0</x:v>
      </x:c>
      <x:c r="P21" s="23" t="n">
        <x:v>0</x:v>
      </x:c>
      <x:c r="Q21" s="23" t="n">
        <x:v>0</x:v>
      </x:c>
      <x:c r="R21" s="23" t="n">
        <x:v>0</x:v>
      </x:c>
      <x:c r="S21" s="23" t="n">
        <x:v>0</x:v>
      </x:c>
      <x:c r="T21" s="23" t="n">
        <x:v>0</x:v>
      </x:c>
      <x:c r="U21" s="24" t="n">
        <x:f>SUM(K21:N21)</x:f>
        <x:v>0</x:v>
      </x:c>
      <x:c r="V21" s="25" t="n">
        <x:f>IFERROR(U21/J21,0)</x:f>
        <x:v>0</x:v>
      </x:c>
      <x:c r="W21" s="25" t="n">
        <x:f>IFERROR(L21/J21,0)</x:f>
        <x:v>0</x:v>
      </x:c>
      <x:c r="X21" s="25" t="n">
        <x:f>IFERROR(P21/O21,0)</x:f>
        <x:v>0</x:v>
      </x:c>
      <x:c r="Y21" s="25" t="n">
        <x:f>IFERROR(R21/Q21,0)</x:f>
        <x:v>0</x:v>
      </x:c>
      <x:c r="Z21" s="25" t="n">
        <x:f>IFERROR(V21*30%+W21*30%+X21*20%+Y21*20%,0)</x:f>
        <x:v>0</x:v>
      </x:c>
    </x:row>
    <x:row r="22" ht="44" customHeight="1">
      <x:c r="A22" s="23" t="str">
        <x:v>C-017</x:v>
      </x:c>
      <x:c r="B22" s="28"/>
      <x:c r="C22" s="23" t="str">
        <x:v>小红书</x:v>
      </x:c>
      <x:c r="D22" s="23" t="str"/>
      <x:c r="E22" s="23" t="str"/>
      <x:c r="F22" s="23" t="str"/>
      <x:c r="G22" s="23" t="str"/>
      <x:c r="H22" s="23" t="n">
        <x:v>0</x:v>
      </x:c>
      <x:c r="I22" s="23" t="n">
        <x:v>0</x:v>
      </x:c>
      <x:c r="J22" s="23" t="n">
        <x:v>0</x:v>
      </x:c>
      <x:c r="K22" s="23" t="n">
        <x:v>0</x:v>
      </x:c>
      <x:c r="L22" s="23" t="n">
        <x:v>0</x:v>
      </x:c>
      <x:c r="M22" s="23" t="n">
        <x:v>0</x:v>
      </x:c>
      <x:c r="N22" s="23" t="n">
        <x:v>0</x:v>
      </x:c>
      <x:c r="O22" s="23" t="n">
        <x:v>0</x:v>
      </x:c>
      <x:c r="P22" s="23" t="n">
        <x:v>0</x:v>
      </x:c>
      <x:c r="Q22" s="23" t="n">
        <x:v>0</x:v>
      </x:c>
      <x:c r="R22" s="23" t="n">
        <x:v>0</x:v>
      </x:c>
      <x:c r="S22" s="23" t="n">
        <x:v>0</x:v>
      </x:c>
      <x:c r="T22" s="23" t="n">
        <x:v>0</x:v>
      </x:c>
      <x:c r="U22" s="24" t="n">
        <x:f>SUM(K22:N22)</x:f>
        <x:v>0</x:v>
      </x:c>
      <x:c r="V22" s="25" t="n">
        <x:f>IFERROR(U22/J22,0)</x:f>
        <x:v>0</x:v>
      </x:c>
      <x:c r="W22" s="25" t="n">
        <x:f>IFERROR(L22/J22,0)</x:f>
        <x:v>0</x:v>
      </x:c>
      <x:c r="X22" s="25" t="n">
        <x:f>IFERROR(P22/O22,0)</x:f>
        <x:v>0</x:v>
      </x:c>
      <x:c r="Y22" s="25" t="n">
        <x:f>IFERROR(R22/Q22,0)</x:f>
        <x:v>0</x:v>
      </x:c>
      <x:c r="Z22" s="25" t="n">
        <x:f>IFERROR(V22*30%+W22*30%+X22*20%+Y22*20%,0)</x:f>
        <x:v>0</x:v>
      </x:c>
    </x:row>
    <x:row r="23" ht="44" customHeight="1">
      <x:c r="A23" s="23" t="str">
        <x:v>C-018</x:v>
      </x:c>
      <x:c r="B23" s="28"/>
      <x:c r="C23" s="23" t="str">
        <x:v>小红书</x:v>
      </x:c>
      <x:c r="D23" s="23" t="str"/>
      <x:c r="E23" s="23" t="str"/>
      <x:c r="F23" s="23" t="str"/>
      <x:c r="G23" s="23" t="str"/>
      <x:c r="H23" s="23" t="n">
        <x:v>0</x:v>
      </x:c>
      <x:c r="I23" s="23" t="n">
        <x:v>0</x:v>
      </x:c>
      <x:c r="J23" s="23" t="n">
        <x:v>0</x:v>
      </x:c>
      <x:c r="K23" s="23" t="n">
        <x:v>0</x:v>
      </x:c>
      <x:c r="L23" s="23" t="n">
        <x:v>0</x:v>
      </x:c>
      <x:c r="M23" s="23" t="n">
        <x:v>0</x:v>
      </x:c>
      <x:c r="N23" s="23" t="n">
        <x:v>0</x:v>
      </x:c>
      <x:c r="O23" s="23" t="n">
        <x:v>0</x:v>
      </x:c>
      <x:c r="P23" s="23" t="n">
        <x:v>0</x:v>
      </x:c>
      <x:c r="Q23" s="23" t="n">
        <x:v>0</x:v>
      </x:c>
      <x:c r="R23" s="23" t="n">
        <x:v>0</x:v>
      </x:c>
      <x:c r="S23" s="23" t="n">
        <x:v>0</x:v>
      </x:c>
      <x:c r="T23" s="23" t="n">
        <x:v>0</x:v>
      </x:c>
      <x:c r="U23" s="24" t="n">
        <x:f>SUM(K23:N23)</x:f>
        <x:v>0</x:v>
      </x:c>
      <x:c r="V23" s="25" t="n">
        <x:f>IFERROR(U23/J23,0)</x:f>
        <x:v>0</x:v>
      </x:c>
      <x:c r="W23" s="25" t="n">
        <x:f>IFERROR(L23/J23,0)</x:f>
        <x:v>0</x:v>
      </x:c>
      <x:c r="X23" s="25" t="n">
        <x:f>IFERROR(P23/O23,0)</x:f>
        <x:v>0</x:v>
      </x:c>
      <x:c r="Y23" s="25" t="n">
        <x:f>IFERROR(R23/Q23,0)</x:f>
        <x:v>0</x:v>
      </x:c>
      <x:c r="Z23" s="25" t="n">
        <x:f>IFERROR(V23*30%+W23*30%+X23*20%+Y23*20%,0)</x:f>
        <x:v>0</x:v>
      </x:c>
    </x:row>
    <x:row r="24" ht="44" customHeight="1">
      <x:c r="A24" s="23" t="str">
        <x:v>C-019</x:v>
      </x:c>
      <x:c r="B24" s="28"/>
      <x:c r="C24" s="23" t="str">
        <x:v>小红书</x:v>
      </x:c>
      <x:c r="D24" s="23" t="str"/>
      <x:c r="E24" s="23" t="str"/>
      <x:c r="F24" s="23" t="str"/>
      <x:c r="G24" s="23" t="str"/>
      <x:c r="H24" s="23" t="n">
        <x:v>0</x:v>
      </x:c>
      <x:c r="I24" s="23" t="n">
        <x:v>0</x:v>
      </x:c>
      <x:c r="J24" s="23" t="n">
        <x:v>0</x:v>
      </x:c>
      <x:c r="K24" s="23" t="n">
        <x:v>0</x:v>
      </x:c>
      <x:c r="L24" s="23" t="n">
        <x:v>0</x:v>
      </x:c>
      <x:c r="M24" s="23" t="n">
        <x:v>0</x:v>
      </x:c>
      <x:c r="N24" s="23" t="n">
        <x:v>0</x:v>
      </x:c>
      <x:c r="O24" s="23" t="n">
        <x:v>0</x:v>
      </x:c>
      <x:c r="P24" s="23" t="n">
        <x:v>0</x:v>
      </x:c>
      <x:c r="Q24" s="23" t="n">
        <x:v>0</x:v>
      </x:c>
      <x:c r="R24" s="23" t="n">
        <x:v>0</x:v>
      </x:c>
      <x:c r="S24" s="23" t="n">
        <x:v>0</x:v>
      </x:c>
      <x:c r="T24" s="23" t="n">
        <x:v>0</x:v>
      </x:c>
      <x:c r="U24" s="24" t="n">
        <x:f>SUM(K24:N24)</x:f>
        <x:v>0</x:v>
      </x:c>
      <x:c r="V24" s="25" t="n">
        <x:f>IFERROR(U24/J24,0)</x:f>
        <x:v>0</x:v>
      </x:c>
      <x:c r="W24" s="25" t="n">
        <x:f>IFERROR(L24/J24,0)</x:f>
        <x:v>0</x:v>
      </x:c>
      <x:c r="X24" s="25" t="n">
        <x:f>IFERROR(P24/O24,0)</x:f>
        <x:v>0</x:v>
      </x:c>
      <x:c r="Y24" s="25" t="n">
        <x:f>IFERROR(R24/Q24,0)</x:f>
        <x:v>0</x:v>
      </x:c>
      <x:c r="Z24" s="25" t="n">
        <x:f>IFERROR(V24*30%+W24*30%+X24*20%+Y24*20%,0)</x:f>
        <x:v>0</x:v>
      </x:c>
    </x:row>
    <x:row r="25" ht="44" customHeight="1">
      <x:c r="A25" s="23" t="str">
        <x:v>C-020</x:v>
      </x:c>
      <x:c r="B25" s="28"/>
      <x:c r="C25" s="23" t="str">
        <x:v>小红书</x:v>
      </x:c>
      <x:c r="D25" s="23" t="str"/>
      <x:c r="E25" s="23" t="str"/>
      <x:c r="F25" s="23" t="str"/>
      <x:c r="G25" s="23" t="str"/>
      <x:c r="H25" s="23" t="n">
        <x:v>0</x:v>
      </x:c>
      <x:c r="I25" s="23" t="n">
        <x:v>0</x:v>
      </x:c>
      <x:c r="J25" s="23" t="n">
        <x:v>0</x:v>
      </x:c>
      <x:c r="K25" s="23" t="n">
        <x:v>0</x:v>
      </x:c>
      <x:c r="L25" s="23" t="n">
        <x:v>0</x:v>
      </x:c>
      <x:c r="M25" s="23" t="n">
        <x:v>0</x:v>
      </x:c>
      <x:c r="N25" s="23" t="n">
        <x:v>0</x:v>
      </x:c>
      <x:c r="O25" s="23" t="n">
        <x:v>0</x:v>
      </x:c>
      <x:c r="P25" s="23" t="n">
        <x:v>0</x:v>
      </x:c>
      <x:c r="Q25" s="23" t="n">
        <x:v>0</x:v>
      </x:c>
      <x:c r="R25" s="23" t="n">
        <x:v>0</x:v>
      </x:c>
      <x:c r="S25" s="23" t="n">
        <x:v>0</x:v>
      </x:c>
      <x:c r="T25" s="23" t="n">
        <x:v>0</x:v>
      </x:c>
      <x:c r="U25" s="24" t="n">
        <x:f>SUM(K25:N25)</x:f>
        <x:v>0</x:v>
      </x:c>
      <x:c r="V25" s="25" t="n">
        <x:f>IFERROR(U25/J25,0)</x:f>
        <x:v>0</x:v>
      </x:c>
      <x:c r="W25" s="25" t="n">
        <x:f>IFERROR(L25/J25,0)</x:f>
        <x:v>0</x:v>
      </x:c>
      <x:c r="X25" s="25" t="n">
        <x:f>IFERROR(P25/O25,0)</x:f>
        <x:v>0</x:v>
      </x:c>
      <x:c r="Y25" s="25" t="n">
        <x:f>IFERROR(R25/Q25,0)</x:f>
        <x:v>0</x:v>
      </x:c>
      <x:c r="Z25" s="25" t="n">
        <x:f>IFERROR(V25*30%+W25*30%+X25*20%+Y25*20%,0)</x:f>
        <x:v>0</x:v>
      </x:c>
    </x:row>
    <x:row r="26" ht="44" customHeight="1">
      <x:c r="A26" s="23" t="str">
        <x:v>C-021</x:v>
      </x:c>
      <x:c r="B26" s="28"/>
      <x:c r="C26" s="23" t="str">
        <x:v>小红书</x:v>
      </x:c>
      <x:c r="D26" s="23" t="str"/>
      <x:c r="E26" s="23" t="str"/>
      <x:c r="F26" s="23" t="str"/>
      <x:c r="G26" s="23" t="str"/>
      <x:c r="H26" s="23" t="n">
        <x:v>0</x:v>
      </x:c>
      <x:c r="I26" s="23" t="n">
        <x:v>0</x:v>
      </x:c>
      <x:c r="J26" s="23" t="n">
        <x:v>0</x:v>
      </x:c>
      <x:c r="K26" s="23" t="n">
        <x:v>0</x:v>
      </x:c>
      <x:c r="L26" s="23" t="n">
        <x:v>0</x:v>
      </x:c>
      <x:c r="M26" s="23" t="n">
        <x:v>0</x:v>
      </x:c>
      <x:c r="N26" s="23" t="n">
        <x:v>0</x:v>
      </x:c>
      <x:c r="O26" s="23" t="n">
        <x:v>0</x:v>
      </x:c>
      <x:c r="P26" s="23" t="n">
        <x:v>0</x:v>
      </x:c>
      <x:c r="Q26" s="23" t="n">
        <x:v>0</x:v>
      </x:c>
      <x:c r="R26" s="23" t="n">
        <x:v>0</x:v>
      </x:c>
      <x:c r="S26" s="23" t="n">
        <x:v>0</x:v>
      </x:c>
      <x:c r="T26" s="23" t="n">
        <x:v>0</x:v>
      </x:c>
      <x:c r="U26" s="24" t="n">
        <x:f>SUM(K26:N26)</x:f>
        <x:v>0</x:v>
      </x:c>
      <x:c r="V26" s="25" t="n">
        <x:f>IFERROR(U26/J26,0)</x:f>
        <x:v>0</x:v>
      </x:c>
      <x:c r="W26" s="25" t="n">
        <x:f>IFERROR(L26/J26,0)</x:f>
        <x:v>0</x:v>
      </x:c>
      <x:c r="X26" s="25" t="n">
        <x:f>IFERROR(P26/O26,0)</x:f>
        <x:v>0</x:v>
      </x:c>
      <x:c r="Y26" s="25" t="n">
        <x:f>IFERROR(R26/Q26,0)</x:f>
        <x:v>0</x:v>
      </x:c>
      <x:c r="Z26" s="25" t="n">
        <x:f>IFERROR(V26*30%+W26*30%+X26*20%+Y26*20%,0)</x:f>
        <x:v>0</x:v>
      </x:c>
    </x:row>
    <x:row r="27" ht="44" customHeight="1">
      <x:c r="A27" s="23" t="str">
        <x:v>C-022</x:v>
      </x:c>
      <x:c r="B27" s="28"/>
      <x:c r="C27" s="23" t="str">
        <x:v>小红书</x:v>
      </x:c>
      <x:c r="D27" s="23" t="str"/>
      <x:c r="E27" s="23" t="str"/>
      <x:c r="F27" s="23" t="str"/>
      <x:c r="G27" s="23" t="str"/>
      <x:c r="H27" s="23" t="n">
        <x:v>0</x:v>
      </x:c>
      <x:c r="I27" s="23" t="n">
        <x:v>0</x:v>
      </x:c>
      <x:c r="J27" s="23" t="n">
        <x:v>0</x:v>
      </x:c>
      <x:c r="K27" s="23" t="n">
        <x:v>0</x:v>
      </x:c>
      <x:c r="L27" s="23" t="n">
        <x:v>0</x:v>
      </x:c>
      <x:c r="M27" s="23" t="n">
        <x:v>0</x:v>
      </x:c>
      <x:c r="N27" s="23" t="n">
        <x:v>0</x:v>
      </x:c>
      <x:c r="O27" s="23" t="n">
        <x:v>0</x:v>
      </x:c>
      <x:c r="P27" s="23" t="n">
        <x:v>0</x:v>
      </x:c>
      <x:c r="Q27" s="23" t="n">
        <x:v>0</x:v>
      </x:c>
      <x:c r="R27" s="23" t="n">
        <x:v>0</x:v>
      </x:c>
      <x:c r="S27" s="23" t="n">
        <x:v>0</x:v>
      </x:c>
      <x:c r="T27" s="23" t="n">
        <x:v>0</x:v>
      </x:c>
      <x:c r="U27" s="24" t="n">
        <x:f>SUM(K27:N27)</x:f>
        <x:v>0</x:v>
      </x:c>
      <x:c r="V27" s="25" t="n">
        <x:f>IFERROR(U27/J27,0)</x:f>
        <x:v>0</x:v>
      </x:c>
      <x:c r="W27" s="25" t="n">
        <x:f>IFERROR(L27/J27,0)</x:f>
        <x:v>0</x:v>
      </x:c>
      <x:c r="X27" s="25" t="n">
        <x:f>IFERROR(P27/O27,0)</x:f>
        <x:v>0</x:v>
      </x:c>
      <x:c r="Y27" s="25" t="n">
        <x:f>IFERROR(R27/Q27,0)</x:f>
        <x:v>0</x:v>
      </x:c>
      <x:c r="Z27" s="25" t="n">
        <x:f>IFERROR(V27*30%+W27*30%+X27*20%+Y27*20%,0)</x:f>
        <x:v>0</x:v>
      </x:c>
    </x:row>
    <x:row r="28" ht="44" customHeight="1">
      <x:c r="A28" s="23" t="str">
        <x:v>C-023</x:v>
      </x:c>
      <x:c r="B28" s="28"/>
      <x:c r="C28" s="23" t="str">
        <x:v>小红书</x:v>
      </x:c>
      <x:c r="D28" s="23" t="str"/>
      <x:c r="E28" s="23" t="str"/>
      <x:c r="F28" s="23" t="str"/>
      <x:c r="G28" s="23" t="str"/>
      <x:c r="H28" s="23" t="n">
        <x:v>0</x:v>
      </x:c>
      <x:c r="I28" s="23" t="n">
        <x:v>0</x:v>
      </x:c>
      <x:c r="J28" s="23" t="n">
        <x:v>0</x:v>
      </x:c>
      <x:c r="K28" s="23" t="n">
        <x:v>0</x:v>
      </x:c>
      <x:c r="L28" s="23" t="n">
        <x:v>0</x:v>
      </x:c>
      <x:c r="M28" s="23" t="n">
        <x:v>0</x:v>
      </x:c>
      <x:c r="N28" s="23" t="n">
        <x:v>0</x:v>
      </x:c>
      <x:c r="O28" s="23" t="n">
        <x:v>0</x:v>
      </x:c>
      <x:c r="P28" s="23" t="n">
        <x:v>0</x:v>
      </x:c>
      <x:c r="Q28" s="23" t="n">
        <x:v>0</x:v>
      </x:c>
      <x:c r="R28" s="23" t="n">
        <x:v>0</x:v>
      </x:c>
      <x:c r="S28" s="23" t="n">
        <x:v>0</x:v>
      </x:c>
      <x:c r="T28" s="23" t="n">
        <x:v>0</x:v>
      </x:c>
      <x:c r="U28" s="24" t="n">
        <x:f>SUM(K28:N28)</x:f>
        <x:v>0</x:v>
      </x:c>
      <x:c r="V28" s="25" t="n">
        <x:f>IFERROR(U28/J28,0)</x:f>
        <x:v>0</x:v>
      </x:c>
      <x:c r="W28" s="25" t="n">
        <x:f>IFERROR(L28/J28,0)</x:f>
        <x:v>0</x:v>
      </x:c>
      <x:c r="X28" s="25" t="n">
        <x:f>IFERROR(P28/O28,0)</x:f>
        <x:v>0</x:v>
      </x:c>
      <x:c r="Y28" s="25" t="n">
        <x:f>IFERROR(R28/Q28,0)</x:f>
        <x:v>0</x:v>
      </x:c>
      <x:c r="Z28" s="25" t="n">
        <x:f>IFERROR(V28*30%+W28*30%+X28*20%+Y28*20%,0)</x:f>
        <x:v>0</x:v>
      </x:c>
    </x:row>
    <x:row r="29" ht="44" customHeight="1">
      <x:c r="A29" s="23" t="str">
        <x:v>C-024</x:v>
      </x:c>
      <x:c r="B29" s="28"/>
      <x:c r="C29" s="23" t="str">
        <x:v>小红书</x:v>
      </x:c>
      <x:c r="D29" s="23" t="str"/>
      <x:c r="E29" s="23" t="str"/>
      <x:c r="F29" s="23" t="str"/>
      <x:c r="G29" s="23" t="str"/>
      <x:c r="H29" s="23" t="n">
        <x:v>0</x:v>
      </x:c>
      <x:c r="I29" s="23" t="n">
        <x:v>0</x:v>
      </x:c>
      <x:c r="J29" s="23" t="n">
        <x:v>0</x:v>
      </x:c>
      <x:c r="K29" s="23" t="n">
        <x:v>0</x:v>
      </x:c>
      <x:c r="L29" s="23" t="n">
        <x:v>0</x:v>
      </x:c>
      <x:c r="M29" s="23" t="n">
        <x:v>0</x:v>
      </x:c>
      <x:c r="N29" s="23" t="n">
        <x:v>0</x:v>
      </x:c>
      <x:c r="O29" s="23" t="n">
        <x:v>0</x:v>
      </x:c>
      <x:c r="P29" s="23" t="n">
        <x:v>0</x:v>
      </x:c>
      <x:c r="Q29" s="23" t="n">
        <x:v>0</x:v>
      </x:c>
      <x:c r="R29" s="23" t="n">
        <x:v>0</x:v>
      </x:c>
      <x:c r="S29" s="23" t="n">
        <x:v>0</x:v>
      </x:c>
      <x:c r="T29" s="23" t="n">
        <x:v>0</x:v>
      </x:c>
      <x:c r="U29" s="24" t="n">
        <x:f>SUM(K29:N29)</x:f>
        <x:v>0</x:v>
      </x:c>
      <x:c r="V29" s="25" t="n">
        <x:f>IFERROR(U29/J29,0)</x:f>
        <x:v>0</x:v>
      </x:c>
      <x:c r="W29" s="25" t="n">
        <x:f>IFERROR(L29/J29,0)</x:f>
        <x:v>0</x:v>
      </x:c>
      <x:c r="X29" s="25" t="n">
        <x:f>IFERROR(P29/O29,0)</x:f>
        <x:v>0</x:v>
      </x:c>
      <x:c r="Y29" s="25" t="n">
        <x:f>IFERROR(R29/Q29,0)</x:f>
        <x:v>0</x:v>
      </x:c>
      <x:c r="Z29" s="25" t="n">
        <x:f>IFERROR(V29*30%+W29*30%+X29*20%+Y29*20%,0)</x:f>
        <x:v>0</x:v>
      </x:c>
    </x:row>
    <x:row r="30" ht="44" customHeight="1">
      <x:c r="A30" s="23" t="str">
        <x:v>C-025</x:v>
      </x:c>
      <x:c r="B30" s="28"/>
      <x:c r="C30" s="23" t="str">
        <x:v>小红书</x:v>
      </x:c>
      <x:c r="D30" s="23" t="str"/>
      <x:c r="E30" s="23" t="str"/>
      <x:c r="F30" s="23" t="str"/>
      <x:c r="G30" s="23" t="str"/>
      <x:c r="H30" s="23" t="n">
        <x:v>0</x:v>
      </x:c>
      <x:c r="I30" s="23" t="n">
        <x:v>0</x:v>
      </x:c>
      <x:c r="J30" s="23" t="n">
        <x:v>0</x:v>
      </x:c>
      <x:c r="K30" s="23" t="n">
        <x:v>0</x:v>
      </x:c>
      <x:c r="L30" s="23" t="n">
        <x:v>0</x:v>
      </x:c>
      <x:c r="M30" s="23" t="n">
        <x:v>0</x:v>
      </x:c>
      <x:c r="N30" s="23" t="n">
        <x:v>0</x:v>
      </x:c>
      <x:c r="O30" s="23" t="n">
        <x:v>0</x:v>
      </x:c>
      <x:c r="P30" s="23" t="n">
        <x:v>0</x:v>
      </x:c>
      <x:c r="Q30" s="23" t="n">
        <x:v>0</x:v>
      </x:c>
      <x:c r="R30" s="23" t="n">
        <x:v>0</x:v>
      </x:c>
      <x:c r="S30" s="23" t="n">
        <x:v>0</x:v>
      </x:c>
      <x:c r="T30" s="23" t="n">
        <x:v>0</x:v>
      </x:c>
      <x:c r="U30" s="24" t="n">
        <x:f>SUM(K30:N30)</x:f>
        <x:v>0</x:v>
      </x:c>
      <x:c r="V30" s="25" t="n">
        <x:f>IFERROR(U30/J30,0)</x:f>
        <x:v>0</x:v>
      </x:c>
      <x:c r="W30" s="25" t="n">
        <x:f>IFERROR(L30/J30,0)</x:f>
        <x:v>0</x:v>
      </x:c>
      <x:c r="X30" s="25" t="n">
        <x:f>IFERROR(P30/O30,0)</x:f>
        <x:v>0</x:v>
      </x:c>
      <x:c r="Y30" s="25" t="n">
        <x:f>IFERROR(R30/Q30,0)</x:f>
        <x:v>0</x:v>
      </x:c>
      <x:c r="Z30" s="25" t="n">
        <x:f>IFERROR(V30*30%+W30*30%+X30*20%+Y30*20%,0)</x:f>
        <x:v>0</x:v>
      </x:c>
    </x:row>
    <x:row r="31" ht="44" customHeight="1">
      <x:c r="A31" s="23" t="str">
        <x:v>C-026</x:v>
      </x:c>
      <x:c r="B31" s="28"/>
      <x:c r="C31" s="23" t="str">
        <x:v>小红书</x:v>
      </x:c>
      <x:c r="D31" s="23" t="str"/>
      <x:c r="E31" s="23" t="str"/>
      <x:c r="F31" s="23" t="str"/>
      <x:c r="G31" s="23" t="str"/>
      <x:c r="H31" s="23" t="n">
        <x:v>0</x:v>
      </x:c>
      <x:c r="I31" s="23" t="n">
        <x:v>0</x:v>
      </x:c>
      <x:c r="J31" s="23" t="n">
        <x:v>0</x:v>
      </x:c>
      <x:c r="K31" s="23" t="n">
        <x:v>0</x:v>
      </x:c>
      <x:c r="L31" s="23" t="n">
        <x:v>0</x:v>
      </x:c>
      <x:c r="M31" s="23" t="n">
        <x:v>0</x:v>
      </x:c>
      <x:c r="N31" s="23" t="n">
        <x:v>0</x:v>
      </x:c>
      <x:c r="O31" s="23" t="n">
        <x:v>0</x:v>
      </x:c>
      <x:c r="P31" s="23" t="n">
        <x:v>0</x:v>
      </x:c>
      <x:c r="Q31" s="23" t="n">
        <x:v>0</x:v>
      </x:c>
      <x:c r="R31" s="23" t="n">
        <x:v>0</x:v>
      </x:c>
      <x:c r="S31" s="23" t="n">
        <x:v>0</x:v>
      </x:c>
      <x:c r="T31" s="23" t="n">
        <x:v>0</x:v>
      </x:c>
      <x:c r="U31" s="24" t="n">
        <x:f>SUM(K31:N31)</x:f>
        <x:v>0</x:v>
      </x:c>
      <x:c r="V31" s="25" t="n">
        <x:f>IFERROR(U31/J31,0)</x:f>
        <x:v>0</x:v>
      </x:c>
      <x:c r="W31" s="25" t="n">
        <x:f>IFERROR(L31/J31,0)</x:f>
        <x:v>0</x:v>
      </x:c>
      <x:c r="X31" s="25" t="n">
        <x:f>IFERROR(P31/O31,0)</x:f>
        <x:v>0</x:v>
      </x:c>
      <x:c r="Y31" s="25" t="n">
        <x:f>IFERROR(R31/Q31,0)</x:f>
        <x:v>0</x:v>
      </x:c>
      <x:c r="Z31" s="25" t="n">
        <x:f>IFERROR(V31*30%+W31*30%+X31*20%+Y31*20%,0)</x:f>
        <x:v>0</x:v>
      </x:c>
    </x:row>
    <x:row r="32" ht="44" customHeight="1">
      <x:c r="A32" s="23" t="str">
        <x:v>C-027</x:v>
      </x:c>
      <x:c r="B32" s="28"/>
      <x:c r="C32" s="23" t="str">
        <x:v>小红书</x:v>
      </x:c>
      <x:c r="D32" s="23" t="str"/>
      <x:c r="E32" s="23" t="str"/>
      <x:c r="F32" s="23" t="str"/>
      <x:c r="G32" s="23" t="str"/>
      <x:c r="H32" s="23" t="n">
        <x:v>0</x:v>
      </x:c>
      <x:c r="I32" s="23" t="n">
        <x:v>0</x:v>
      </x:c>
      <x:c r="J32" s="23" t="n">
        <x:v>0</x:v>
      </x:c>
      <x:c r="K32" s="23" t="n">
        <x:v>0</x:v>
      </x:c>
      <x:c r="L32" s="23" t="n">
        <x:v>0</x:v>
      </x:c>
      <x:c r="M32" s="23" t="n">
        <x:v>0</x:v>
      </x:c>
      <x:c r="N32" s="23" t="n">
        <x:v>0</x:v>
      </x:c>
      <x:c r="O32" s="23" t="n">
        <x:v>0</x:v>
      </x:c>
      <x:c r="P32" s="23" t="n">
        <x:v>0</x:v>
      </x:c>
      <x:c r="Q32" s="23" t="n">
        <x:v>0</x:v>
      </x:c>
      <x:c r="R32" s="23" t="n">
        <x:v>0</x:v>
      </x:c>
      <x:c r="S32" s="23" t="n">
        <x:v>0</x:v>
      </x:c>
      <x:c r="T32" s="23" t="n">
        <x:v>0</x:v>
      </x:c>
      <x:c r="U32" s="24" t="n">
        <x:f>SUM(K32:N32)</x:f>
        <x:v>0</x:v>
      </x:c>
      <x:c r="V32" s="25" t="n">
        <x:f>IFERROR(U32/J32,0)</x:f>
        <x:v>0</x:v>
      </x:c>
      <x:c r="W32" s="25" t="n">
        <x:f>IFERROR(L32/J32,0)</x:f>
        <x:v>0</x:v>
      </x:c>
      <x:c r="X32" s="25" t="n">
        <x:f>IFERROR(P32/O32,0)</x:f>
        <x:v>0</x:v>
      </x:c>
      <x:c r="Y32" s="25" t="n">
        <x:f>IFERROR(R32/Q32,0)</x:f>
        <x:v>0</x:v>
      </x:c>
      <x:c r="Z32" s="25" t="n">
        <x:f>IFERROR(V32*30%+W32*30%+X32*20%+Y32*20%,0)</x:f>
        <x:v>0</x:v>
      </x:c>
    </x:row>
    <x:row r="33" ht="44" customHeight="1">
      <x:c r="A33" s="23" t="str">
        <x:v>C-028</x:v>
      </x:c>
      <x:c r="B33" s="28"/>
      <x:c r="C33" s="23" t="str">
        <x:v>小红书</x:v>
      </x:c>
      <x:c r="D33" s="23" t="str"/>
      <x:c r="E33" s="23" t="str"/>
      <x:c r="F33" s="23" t="str"/>
      <x:c r="G33" s="23" t="str"/>
      <x:c r="H33" s="23" t="n">
        <x:v>0</x:v>
      </x:c>
      <x:c r="I33" s="23" t="n">
        <x:v>0</x:v>
      </x:c>
      <x:c r="J33" s="23" t="n">
        <x:v>0</x:v>
      </x:c>
      <x:c r="K33" s="23" t="n">
        <x:v>0</x:v>
      </x:c>
      <x:c r="L33" s="23" t="n">
        <x:v>0</x:v>
      </x:c>
      <x:c r="M33" s="23" t="n">
        <x:v>0</x:v>
      </x:c>
      <x:c r="N33" s="23" t="n">
        <x:v>0</x:v>
      </x:c>
      <x:c r="O33" s="23" t="n">
        <x:v>0</x:v>
      </x:c>
      <x:c r="P33" s="23" t="n">
        <x:v>0</x:v>
      </x:c>
      <x:c r="Q33" s="23" t="n">
        <x:v>0</x:v>
      </x:c>
      <x:c r="R33" s="23" t="n">
        <x:v>0</x:v>
      </x:c>
      <x:c r="S33" s="23" t="n">
        <x:v>0</x:v>
      </x:c>
      <x:c r="T33" s="23" t="n">
        <x:v>0</x:v>
      </x:c>
      <x:c r="U33" s="24" t="n">
        <x:f>SUM(K33:N33)</x:f>
        <x:v>0</x:v>
      </x:c>
      <x:c r="V33" s="25" t="n">
        <x:f>IFERROR(U33/J33,0)</x:f>
        <x:v>0</x:v>
      </x:c>
      <x:c r="W33" s="25" t="n">
        <x:f>IFERROR(L33/J33,0)</x:f>
        <x:v>0</x:v>
      </x:c>
      <x:c r="X33" s="25" t="n">
        <x:f>IFERROR(P33/O33,0)</x:f>
        <x:v>0</x:v>
      </x:c>
      <x:c r="Y33" s="25" t="n">
        <x:f>IFERROR(R33/Q33,0)</x:f>
        <x:v>0</x:v>
      </x:c>
      <x:c r="Z33" s="25" t="n">
        <x:f>IFERROR(V33*30%+W33*30%+X33*20%+Y33*20%,0)</x:f>
        <x:v>0</x:v>
      </x:c>
    </x:row>
    <x:row r="34" ht="44" customHeight="1">
      <x:c r="A34" s="23" t="str">
        <x:v>C-029</x:v>
      </x:c>
      <x:c r="B34" s="28"/>
      <x:c r="C34" s="23" t="str">
        <x:v>小红书</x:v>
      </x:c>
      <x:c r="D34" s="23" t="str"/>
      <x:c r="E34" s="23" t="str"/>
      <x:c r="F34" s="23" t="str"/>
      <x:c r="G34" s="23" t="str"/>
      <x:c r="H34" s="23" t="n">
        <x:v>0</x:v>
      </x:c>
      <x:c r="I34" s="23" t="n">
        <x:v>0</x:v>
      </x:c>
      <x:c r="J34" s="23" t="n">
        <x:v>0</x:v>
      </x:c>
      <x:c r="K34" s="23" t="n">
        <x:v>0</x:v>
      </x:c>
      <x:c r="L34" s="23" t="n">
        <x:v>0</x:v>
      </x:c>
      <x:c r="M34" s="23" t="n">
        <x:v>0</x:v>
      </x:c>
      <x:c r="N34" s="23" t="n">
        <x:v>0</x:v>
      </x:c>
      <x:c r="O34" s="23" t="n">
        <x:v>0</x:v>
      </x:c>
      <x:c r="P34" s="23" t="n">
        <x:v>0</x:v>
      </x:c>
      <x:c r="Q34" s="23" t="n">
        <x:v>0</x:v>
      </x:c>
      <x:c r="R34" s="23" t="n">
        <x:v>0</x:v>
      </x:c>
      <x:c r="S34" s="23" t="n">
        <x:v>0</x:v>
      </x:c>
      <x:c r="T34" s="23" t="n">
        <x:v>0</x:v>
      </x:c>
      <x:c r="U34" s="24" t="n">
        <x:f>SUM(K34:N34)</x:f>
        <x:v>0</x:v>
      </x:c>
      <x:c r="V34" s="25" t="n">
        <x:f>IFERROR(U34/J34,0)</x:f>
        <x:v>0</x:v>
      </x:c>
      <x:c r="W34" s="25" t="n">
        <x:f>IFERROR(L34/J34,0)</x:f>
        <x:v>0</x:v>
      </x:c>
      <x:c r="X34" s="25" t="n">
        <x:f>IFERROR(P34/O34,0)</x:f>
        <x:v>0</x:v>
      </x:c>
      <x:c r="Y34" s="25" t="n">
        <x:f>IFERROR(R34/Q34,0)</x:f>
        <x:v>0</x:v>
      </x:c>
      <x:c r="Z34" s="25" t="n">
        <x:f>IFERROR(V34*30%+W34*30%+X34*20%+Y34*20%,0)</x:f>
        <x:v>0</x:v>
      </x:c>
    </x:row>
    <x:row r="35" ht="44" customHeight="1">
      <x:c r="A35" s="23" t="str">
        <x:v>C-030</x:v>
      </x:c>
      <x:c r="B35" s="28"/>
      <x:c r="C35" s="23" t="str">
        <x:v>小红书</x:v>
      </x:c>
      <x:c r="D35" s="23" t="str"/>
      <x:c r="E35" s="23" t="str"/>
      <x:c r="F35" s="23" t="str"/>
      <x:c r="G35" s="23" t="str"/>
      <x:c r="H35" s="23" t="n">
        <x:v>0</x:v>
      </x:c>
      <x:c r="I35" s="23" t="n">
        <x:v>0</x:v>
      </x:c>
      <x:c r="J35" s="23" t="n">
        <x:v>0</x:v>
      </x:c>
      <x:c r="K35" s="23" t="n">
        <x:v>0</x:v>
      </x:c>
      <x:c r="L35" s="23" t="n">
        <x:v>0</x:v>
      </x:c>
      <x:c r="M35" s="23" t="n">
        <x:v>0</x:v>
      </x:c>
      <x:c r="N35" s="23" t="n">
        <x:v>0</x:v>
      </x:c>
      <x:c r="O35" s="23" t="n">
        <x:v>0</x:v>
      </x:c>
      <x:c r="P35" s="23" t="n">
        <x:v>0</x:v>
      </x:c>
      <x:c r="Q35" s="23" t="n">
        <x:v>0</x:v>
      </x:c>
      <x:c r="R35" s="23" t="n">
        <x:v>0</x:v>
      </x:c>
      <x:c r="S35" s="23" t="n">
        <x:v>0</x:v>
      </x:c>
      <x:c r="T35" s="23" t="n">
        <x:v>0</x:v>
      </x:c>
      <x:c r="U35" s="24" t="n">
        <x:f>SUM(K35:N35)</x:f>
        <x:v>0</x:v>
      </x:c>
      <x:c r="V35" s="25" t="n">
        <x:f>IFERROR(U35/J35,0)</x:f>
        <x:v>0</x:v>
      </x:c>
      <x:c r="W35" s="25" t="n">
        <x:f>IFERROR(L35/J35,0)</x:f>
        <x:v>0</x:v>
      </x:c>
      <x:c r="X35" s="25" t="n">
        <x:f>IFERROR(P35/O35,0)</x:f>
        <x:v>0</x:v>
      </x:c>
      <x:c r="Y35" s="25" t="n">
        <x:f>IFERROR(R35/Q35,0)</x:f>
        <x:v>0</x:v>
      </x:c>
      <x:c r="Z35" s="25" t="n">
        <x:f>IFERROR(V35*30%+W35*30%+X35*20%+Y35*20%,0)</x:f>
        <x:v>0</x:v>
      </x:c>
    </x:row>
    <x:row r="36" ht="44" customHeight="1">
      <x:c r="A36" s="23" t="str">
        <x:v>C-031</x:v>
      </x:c>
      <x:c r="B36" s="28"/>
      <x:c r="C36" s="23" t="str">
        <x:v>小红书</x:v>
      </x:c>
      <x:c r="D36" s="23" t="str"/>
      <x:c r="E36" s="23" t="str"/>
      <x:c r="F36" s="23" t="str"/>
      <x:c r="G36" s="23" t="str"/>
      <x:c r="H36" s="23" t="n">
        <x:v>0</x:v>
      </x:c>
      <x:c r="I36" s="23" t="n">
        <x:v>0</x:v>
      </x:c>
      <x:c r="J36" s="23" t="n">
        <x:v>0</x:v>
      </x:c>
      <x:c r="K36" s="23" t="n">
        <x:v>0</x:v>
      </x:c>
      <x:c r="L36" s="23" t="n">
        <x:v>0</x:v>
      </x:c>
      <x:c r="M36" s="23" t="n">
        <x:v>0</x:v>
      </x:c>
      <x:c r="N36" s="23" t="n">
        <x:v>0</x:v>
      </x:c>
      <x:c r="O36" s="23" t="n">
        <x:v>0</x:v>
      </x:c>
      <x:c r="P36" s="23" t="n">
        <x:v>0</x:v>
      </x:c>
      <x:c r="Q36" s="23" t="n">
        <x:v>0</x:v>
      </x:c>
      <x:c r="R36" s="23" t="n">
        <x:v>0</x:v>
      </x:c>
      <x:c r="S36" s="23" t="n">
        <x:v>0</x:v>
      </x:c>
      <x:c r="T36" s="23" t="n">
        <x:v>0</x:v>
      </x:c>
      <x:c r="U36" s="24" t="n">
        <x:f>SUM(K36:N36)</x:f>
        <x:v>0</x:v>
      </x:c>
      <x:c r="V36" s="25" t="n">
        <x:f>IFERROR(U36/J36,0)</x:f>
        <x:v>0</x:v>
      </x:c>
      <x:c r="W36" s="25" t="n">
        <x:f>IFERROR(L36/J36,0)</x:f>
        <x:v>0</x:v>
      </x:c>
      <x:c r="X36" s="25" t="n">
        <x:f>IFERROR(P36/O36,0)</x:f>
        <x:v>0</x:v>
      </x:c>
      <x:c r="Y36" s="25" t="n">
        <x:f>IFERROR(R36/Q36,0)</x:f>
        <x:v>0</x:v>
      </x:c>
      <x:c r="Z36" s="25" t="n">
        <x:f>IFERROR(V36*30%+W36*30%+X36*20%+Y36*20%,0)</x:f>
        <x:v>0</x:v>
      </x:c>
    </x:row>
    <x:row r="37" ht="44" customHeight="1">
      <x:c r="A37" s="23" t="str">
        <x:v>C-032</x:v>
      </x:c>
      <x:c r="B37" s="28"/>
      <x:c r="C37" s="23" t="str">
        <x:v>小红书</x:v>
      </x:c>
      <x:c r="D37" s="23" t="str"/>
      <x:c r="E37" s="23" t="str"/>
      <x:c r="F37" s="23" t="str"/>
      <x:c r="G37" s="23" t="str"/>
      <x:c r="H37" s="23" t="n">
        <x:v>0</x:v>
      </x:c>
      <x:c r="I37" s="23" t="n">
        <x:v>0</x:v>
      </x:c>
      <x:c r="J37" s="23" t="n">
        <x:v>0</x:v>
      </x:c>
      <x:c r="K37" s="23" t="n">
        <x:v>0</x:v>
      </x:c>
      <x:c r="L37" s="23" t="n">
        <x:v>0</x:v>
      </x:c>
      <x:c r="M37" s="23" t="n">
        <x:v>0</x:v>
      </x:c>
      <x:c r="N37" s="23" t="n">
        <x:v>0</x:v>
      </x:c>
      <x:c r="O37" s="23" t="n">
        <x:v>0</x:v>
      </x:c>
      <x:c r="P37" s="23" t="n">
        <x:v>0</x:v>
      </x:c>
      <x:c r="Q37" s="23" t="n">
        <x:v>0</x:v>
      </x:c>
      <x:c r="R37" s="23" t="n">
        <x:v>0</x:v>
      </x:c>
      <x:c r="S37" s="23" t="n">
        <x:v>0</x:v>
      </x:c>
      <x:c r="T37" s="23" t="n">
        <x:v>0</x:v>
      </x:c>
      <x:c r="U37" s="24" t="n">
        <x:f>SUM(K37:N37)</x:f>
        <x:v>0</x:v>
      </x:c>
      <x:c r="V37" s="25" t="n">
        <x:f>IFERROR(U37/J37,0)</x:f>
        <x:v>0</x:v>
      </x:c>
      <x:c r="W37" s="25" t="n">
        <x:f>IFERROR(L37/J37,0)</x:f>
        <x:v>0</x:v>
      </x:c>
      <x:c r="X37" s="25" t="n">
        <x:f>IFERROR(P37/O37,0)</x:f>
        <x:v>0</x:v>
      </x:c>
      <x:c r="Y37" s="25" t="n">
        <x:f>IFERROR(R37/Q37,0)</x:f>
        <x:v>0</x:v>
      </x:c>
      <x:c r="Z37" s="25" t="n">
        <x:f>IFERROR(V37*30%+W37*30%+X37*20%+Y37*20%,0)</x:f>
        <x:v>0</x:v>
      </x:c>
    </x:row>
    <x:row r="38" ht="44" customHeight="1">
      <x:c r="A38" s="23" t="str">
        <x:v>C-033</x:v>
      </x:c>
      <x:c r="B38" s="28"/>
      <x:c r="C38" s="23" t="str">
        <x:v>小红书</x:v>
      </x:c>
      <x:c r="D38" s="23" t="str"/>
      <x:c r="E38" s="23" t="str"/>
      <x:c r="F38" s="23" t="str"/>
      <x:c r="G38" s="23" t="str"/>
      <x:c r="H38" s="23" t="n">
        <x:v>0</x:v>
      </x:c>
      <x:c r="I38" s="23" t="n">
        <x:v>0</x:v>
      </x:c>
      <x:c r="J38" s="23" t="n">
        <x:v>0</x:v>
      </x:c>
      <x:c r="K38" s="23" t="n">
        <x:v>0</x:v>
      </x:c>
      <x:c r="L38" s="23" t="n">
        <x:v>0</x:v>
      </x:c>
      <x:c r="M38" s="23" t="n">
        <x:v>0</x:v>
      </x:c>
      <x:c r="N38" s="23" t="n">
        <x:v>0</x:v>
      </x:c>
      <x:c r="O38" s="23" t="n">
        <x:v>0</x:v>
      </x:c>
      <x:c r="P38" s="23" t="n">
        <x:v>0</x:v>
      </x:c>
      <x:c r="Q38" s="23" t="n">
        <x:v>0</x:v>
      </x:c>
      <x:c r="R38" s="23" t="n">
        <x:v>0</x:v>
      </x:c>
      <x:c r="S38" s="23" t="n">
        <x:v>0</x:v>
      </x:c>
      <x:c r="T38" s="23" t="n">
        <x:v>0</x:v>
      </x:c>
      <x:c r="U38" s="24" t="n">
        <x:f>SUM(K38:N38)</x:f>
        <x:v>0</x:v>
      </x:c>
      <x:c r="V38" s="25" t="n">
        <x:f>IFERROR(U38/J38,0)</x:f>
        <x:v>0</x:v>
      </x:c>
      <x:c r="W38" s="25" t="n">
        <x:f>IFERROR(L38/J38,0)</x:f>
        <x:v>0</x:v>
      </x:c>
      <x:c r="X38" s="25" t="n">
        <x:f>IFERROR(P38/O38,0)</x:f>
        <x:v>0</x:v>
      </x:c>
      <x:c r="Y38" s="25" t="n">
        <x:f>IFERROR(R38/Q38,0)</x:f>
        <x:v>0</x:v>
      </x:c>
      <x:c r="Z38" s="25" t="n">
        <x:f>IFERROR(V38*30%+W38*30%+X38*20%+Y38*20%,0)</x:f>
        <x:v>0</x:v>
      </x:c>
    </x:row>
    <x:row r="39" ht="44" customHeight="1">
      <x:c r="A39" s="23" t="str">
        <x:v>C-034</x:v>
      </x:c>
      <x:c r="B39" s="28"/>
      <x:c r="C39" s="23" t="str">
        <x:v>小红书</x:v>
      </x:c>
      <x:c r="D39" s="23" t="str"/>
      <x:c r="E39" s="23" t="str"/>
      <x:c r="F39" s="23" t="str"/>
      <x:c r="G39" s="23" t="str"/>
      <x:c r="H39" s="23" t="n">
        <x:v>0</x:v>
      </x:c>
      <x:c r="I39" s="23" t="n">
        <x:v>0</x:v>
      </x:c>
      <x:c r="J39" s="23" t="n">
        <x:v>0</x:v>
      </x:c>
      <x:c r="K39" s="23" t="n">
        <x:v>0</x:v>
      </x:c>
      <x:c r="L39" s="23" t="n">
        <x:v>0</x:v>
      </x:c>
      <x:c r="M39" s="23" t="n">
        <x:v>0</x:v>
      </x:c>
      <x:c r="N39" s="23" t="n">
        <x:v>0</x:v>
      </x:c>
      <x:c r="O39" s="23" t="n">
        <x:v>0</x:v>
      </x:c>
      <x:c r="P39" s="23" t="n">
        <x:v>0</x:v>
      </x:c>
      <x:c r="Q39" s="23" t="n">
        <x:v>0</x:v>
      </x:c>
      <x:c r="R39" s="23" t="n">
        <x:v>0</x:v>
      </x:c>
      <x:c r="S39" s="23" t="n">
        <x:v>0</x:v>
      </x:c>
      <x:c r="T39" s="23" t="n">
        <x:v>0</x:v>
      </x:c>
      <x:c r="U39" s="24" t="n">
        <x:f>SUM(K39:N39)</x:f>
        <x:v>0</x:v>
      </x:c>
      <x:c r="V39" s="25" t="n">
        <x:f>IFERROR(U39/J39,0)</x:f>
        <x:v>0</x:v>
      </x:c>
      <x:c r="W39" s="25" t="n">
        <x:f>IFERROR(L39/J39,0)</x:f>
        <x:v>0</x:v>
      </x:c>
      <x:c r="X39" s="25" t="n">
        <x:f>IFERROR(P39/O39,0)</x:f>
        <x:v>0</x:v>
      </x:c>
      <x:c r="Y39" s="25" t="n">
        <x:f>IFERROR(R39/Q39,0)</x:f>
        <x:v>0</x:v>
      </x:c>
      <x:c r="Z39" s="25" t="n">
        <x:f>IFERROR(V39*30%+W39*30%+X39*20%+Y39*20%,0)</x:f>
        <x:v>0</x:v>
      </x:c>
    </x:row>
    <x:row r="40" ht="44" customHeight="1">
      <x:c r="A40" s="23" t="str">
        <x:v>C-035</x:v>
      </x:c>
      <x:c r="B40" s="28"/>
      <x:c r="C40" s="23" t="str">
        <x:v>小红书</x:v>
      </x:c>
      <x:c r="D40" s="23" t="str"/>
      <x:c r="E40" s="23" t="str"/>
      <x:c r="F40" s="23" t="str"/>
      <x:c r="G40" s="23" t="str"/>
      <x:c r="H40" s="23" t="n">
        <x:v>0</x:v>
      </x:c>
      <x:c r="I40" s="23" t="n">
        <x:v>0</x:v>
      </x:c>
      <x:c r="J40" s="23" t="n">
        <x:v>0</x:v>
      </x:c>
      <x:c r="K40" s="23" t="n">
        <x:v>0</x:v>
      </x:c>
      <x:c r="L40" s="23" t="n">
        <x:v>0</x:v>
      </x:c>
      <x:c r="M40" s="23" t="n">
        <x:v>0</x:v>
      </x:c>
      <x:c r="N40" s="23" t="n">
        <x:v>0</x:v>
      </x:c>
      <x:c r="O40" s="23" t="n">
        <x:v>0</x:v>
      </x:c>
      <x:c r="P40" s="23" t="n">
        <x:v>0</x:v>
      </x:c>
      <x:c r="Q40" s="23" t="n">
        <x:v>0</x:v>
      </x:c>
      <x:c r="R40" s="23" t="n">
        <x:v>0</x:v>
      </x:c>
      <x:c r="S40" s="23" t="n">
        <x:v>0</x:v>
      </x:c>
      <x:c r="T40" s="23" t="n">
        <x:v>0</x:v>
      </x:c>
      <x:c r="U40" s="24" t="n">
        <x:f>SUM(K40:N40)</x:f>
        <x:v>0</x:v>
      </x:c>
      <x:c r="V40" s="25" t="n">
        <x:f>IFERROR(U40/J40,0)</x:f>
        <x:v>0</x:v>
      </x:c>
      <x:c r="W40" s="25" t="n">
        <x:f>IFERROR(L40/J40,0)</x:f>
        <x:v>0</x:v>
      </x:c>
      <x:c r="X40" s="25" t="n">
        <x:f>IFERROR(P40/O40,0)</x:f>
        <x:v>0</x:v>
      </x:c>
      <x:c r="Y40" s="25" t="n">
        <x:f>IFERROR(R40/Q40,0)</x:f>
        <x:v>0</x:v>
      </x:c>
      <x:c r="Z40" s="25" t="n">
        <x:f>IFERROR(V40*30%+W40*30%+X40*20%+Y40*20%,0)</x:f>
        <x:v>0</x:v>
      </x:c>
    </x:row>
    <x:row r="41" ht="44" customHeight="1">
      <x:c r="A41" s="23" t="str">
        <x:v>C-036</x:v>
      </x:c>
      <x:c r="B41" s="28"/>
      <x:c r="C41" s="23" t="str">
        <x:v>小红书</x:v>
      </x:c>
      <x:c r="D41" s="23" t="str"/>
      <x:c r="E41" s="23" t="str"/>
      <x:c r="F41" s="23" t="str"/>
      <x:c r="G41" s="23" t="str"/>
      <x:c r="H41" s="23" t="n">
        <x:v>0</x:v>
      </x:c>
      <x:c r="I41" s="23" t="n">
        <x:v>0</x:v>
      </x:c>
      <x:c r="J41" s="23" t="n">
        <x:v>0</x:v>
      </x:c>
      <x:c r="K41" s="23" t="n">
        <x:v>0</x:v>
      </x:c>
      <x:c r="L41" s="23" t="n">
        <x:v>0</x:v>
      </x:c>
      <x:c r="M41" s="23" t="n">
        <x:v>0</x:v>
      </x:c>
      <x:c r="N41" s="23" t="n">
        <x:v>0</x:v>
      </x:c>
      <x:c r="O41" s="23" t="n">
        <x:v>0</x:v>
      </x:c>
      <x:c r="P41" s="23" t="n">
        <x:v>0</x:v>
      </x:c>
      <x:c r="Q41" s="23" t="n">
        <x:v>0</x:v>
      </x:c>
      <x:c r="R41" s="23" t="n">
        <x:v>0</x:v>
      </x:c>
      <x:c r="S41" s="23" t="n">
        <x:v>0</x:v>
      </x:c>
      <x:c r="T41" s="23" t="n">
        <x:v>0</x:v>
      </x:c>
      <x:c r="U41" s="24" t="n">
        <x:f>SUM(K41:N41)</x:f>
        <x:v>0</x:v>
      </x:c>
      <x:c r="V41" s="25" t="n">
        <x:f>IFERROR(U41/J41,0)</x:f>
        <x:v>0</x:v>
      </x:c>
      <x:c r="W41" s="25" t="n">
        <x:f>IFERROR(L41/J41,0)</x:f>
        <x:v>0</x:v>
      </x:c>
      <x:c r="X41" s="25" t="n">
        <x:f>IFERROR(P41/O41,0)</x:f>
        <x:v>0</x:v>
      </x:c>
      <x:c r="Y41" s="25" t="n">
        <x:f>IFERROR(R41/Q41,0)</x:f>
        <x:v>0</x:v>
      </x:c>
      <x:c r="Z41" s="25" t="n">
        <x:f>IFERROR(V41*30%+W41*30%+X41*20%+Y41*20%,0)</x:f>
        <x:v>0</x:v>
      </x:c>
    </x:row>
    <x:row r="42" ht="44" customHeight="1">
      <x:c r="A42" s="23" t="str">
        <x:v>C-037</x:v>
      </x:c>
      <x:c r="B42" s="28"/>
      <x:c r="C42" s="23" t="str">
        <x:v>小红书</x:v>
      </x:c>
      <x:c r="D42" s="23" t="str"/>
      <x:c r="E42" s="23" t="str"/>
      <x:c r="F42" s="23" t="str"/>
      <x:c r="G42" s="23" t="str"/>
      <x:c r="H42" s="23" t="n">
        <x:v>0</x:v>
      </x:c>
      <x:c r="I42" s="23" t="n">
        <x:v>0</x:v>
      </x:c>
      <x:c r="J42" s="23" t="n">
        <x:v>0</x:v>
      </x:c>
      <x:c r="K42" s="23" t="n">
        <x:v>0</x:v>
      </x:c>
      <x:c r="L42" s="23" t="n">
        <x:v>0</x:v>
      </x:c>
      <x:c r="M42" s="23" t="n">
        <x:v>0</x:v>
      </x:c>
      <x:c r="N42" s="23" t="n">
        <x:v>0</x:v>
      </x:c>
      <x:c r="O42" s="23" t="n">
        <x:v>0</x:v>
      </x:c>
      <x:c r="P42" s="23" t="n">
        <x:v>0</x:v>
      </x:c>
      <x:c r="Q42" s="23" t="n">
        <x:v>0</x:v>
      </x:c>
      <x:c r="R42" s="23" t="n">
        <x:v>0</x:v>
      </x:c>
      <x:c r="S42" s="23" t="n">
        <x:v>0</x:v>
      </x:c>
      <x:c r="T42" s="23" t="n">
        <x:v>0</x:v>
      </x:c>
      <x:c r="U42" s="24" t="n">
        <x:f>SUM(K42:N42)</x:f>
        <x:v>0</x:v>
      </x:c>
      <x:c r="V42" s="25" t="n">
        <x:f>IFERROR(U42/J42,0)</x:f>
        <x:v>0</x:v>
      </x:c>
      <x:c r="W42" s="25" t="n">
        <x:f>IFERROR(L42/J42,0)</x:f>
        <x:v>0</x:v>
      </x:c>
      <x:c r="X42" s="25" t="n">
        <x:f>IFERROR(P42/O42,0)</x:f>
        <x:v>0</x:v>
      </x:c>
      <x:c r="Y42" s="25" t="n">
        <x:f>IFERROR(R42/Q42,0)</x:f>
        <x:v>0</x:v>
      </x:c>
      <x:c r="Z42" s="25" t="n">
        <x:f>IFERROR(V42*30%+W42*30%+X42*20%+Y42*20%,0)</x:f>
        <x:v>0</x:v>
      </x:c>
    </x:row>
    <x:row r="43" ht="44" customHeight="1">
      <x:c r="A43" s="23" t="str">
        <x:v>C-038</x:v>
      </x:c>
      <x:c r="B43" s="28"/>
      <x:c r="C43" s="23" t="str">
        <x:v>小红书</x:v>
      </x:c>
      <x:c r="D43" s="23" t="str"/>
      <x:c r="E43" s="23" t="str"/>
      <x:c r="F43" s="23" t="str"/>
      <x:c r="G43" s="23" t="str"/>
      <x:c r="H43" s="23" t="n">
        <x:v>0</x:v>
      </x:c>
      <x:c r="I43" s="23" t="n">
        <x:v>0</x:v>
      </x:c>
      <x:c r="J43" s="23" t="n">
        <x:v>0</x:v>
      </x:c>
      <x:c r="K43" s="23" t="n">
        <x:v>0</x:v>
      </x:c>
      <x:c r="L43" s="23" t="n">
        <x:v>0</x:v>
      </x:c>
      <x:c r="M43" s="23" t="n">
        <x:v>0</x:v>
      </x:c>
      <x:c r="N43" s="23" t="n">
        <x:v>0</x:v>
      </x:c>
      <x:c r="O43" s="23" t="n">
        <x:v>0</x:v>
      </x:c>
      <x:c r="P43" s="23" t="n">
        <x:v>0</x:v>
      </x:c>
      <x:c r="Q43" s="23" t="n">
        <x:v>0</x:v>
      </x:c>
      <x:c r="R43" s="23" t="n">
        <x:v>0</x:v>
      </x:c>
      <x:c r="S43" s="23" t="n">
        <x:v>0</x:v>
      </x:c>
      <x:c r="T43" s="23" t="n">
        <x:v>0</x:v>
      </x:c>
      <x:c r="U43" s="24" t="n">
        <x:f>SUM(K43:N43)</x:f>
        <x:v>0</x:v>
      </x:c>
      <x:c r="V43" s="25" t="n">
        <x:f>IFERROR(U43/J43,0)</x:f>
        <x:v>0</x:v>
      </x:c>
      <x:c r="W43" s="25" t="n">
        <x:f>IFERROR(L43/J43,0)</x:f>
        <x:v>0</x:v>
      </x:c>
      <x:c r="X43" s="25" t="n">
        <x:f>IFERROR(P43/O43,0)</x:f>
        <x:v>0</x:v>
      </x:c>
      <x:c r="Y43" s="25" t="n">
        <x:f>IFERROR(R43/Q43,0)</x:f>
        <x:v>0</x:v>
      </x:c>
      <x:c r="Z43" s="25" t="n">
        <x:f>IFERROR(V43*30%+W43*30%+X43*20%+Y43*20%,0)</x:f>
        <x:v>0</x:v>
      </x:c>
    </x:row>
    <x:row r="44" ht="44" customHeight="1">
      <x:c r="A44" s="23" t="str">
        <x:v>C-039</x:v>
      </x:c>
      <x:c r="B44" s="28"/>
      <x:c r="C44" s="23" t="str">
        <x:v>小红书</x:v>
      </x:c>
      <x:c r="D44" s="23" t="str"/>
      <x:c r="E44" s="23" t="str"/>
      <x:c r="F44" s="23" t="str"/>
      <x:c r="G44" s="23" t="str"/>
      <x:c r="H44" s="23" t="n">
        <x:v>0</x:v>
      </x:c>
      <x:c r="I44" s="23" t="n">
        <x:v>0</x:v>
      </x:c>
      <x:c r="J44" s="23" t="n">
        <x:v>0</x:v>
      </x:c>
      <x:c r="K44" s="23" t="n">
        <x:v>0</x:v>
      </x:c>
      <x:c r="L44" s="23" t="n">
        <x:v>0</x:v>
      </x:c>
      <x:c r="M44" s="23" t="n">
        <x:v>0</x:v>
      </x:c>
      <x:c r="N44" s="23" t="n">
        <x:v>0</x:v>
      </x:c>
      <x:c r="O44" s="23" t="n">
        <x:v>0</x:v>
      </x:c>
      <x:c r="P44" s="23" t="n">
        <x:v>0</x:v>
      </x:c>
      <x:c r="Q44" s="23" t="n">
        <x:v>0</x:v>
      </x:c>
      <x:c r="R44" s="23" t="n">
        <x:v>0</x:v>
      </x:c>
      <x:c r="S44" s="23" t="n">
        <x:v>0</x:v>
      </x:c>
      <x:c r="T44" s="23" t="n">
        <x:v>0</x:v>
      </x:c>
      <x:c r="U44" s="24" t="n">
        <x:f>SUM(K44:N44)</x:f>
        <x:v>0</x:v>
      </x:c>
      <x:c r="V44" s="25" t="n">
        <x:f>IFERROR(U44/J44,0)</x:f>
        <x:v>0</x:v>
      </x:c>
      <x:c r="W44" s="25" t="n">
        <x:f>IFERROR(L44/J44,0)</x:f>
        <x:v>0</x:v>
      </x:c>
      <x:c r="X44" s="25" t="n">
        <x:f>IFERROR(P44/O44,0)</x:f>
        <x:v>0</x:v>
      </x:c>
      <x:c r="Y44" s="25" t="n">
        <x:f>IFERROR(R44/Q44,0)</x:f>
        <x:v>0</x:v>
      </x:c>
      <x:c r="Z44" s="25" t="n">
        <x:f>IFERROR(V44*30%+W44*30%+X44*20%+Y44*20%,0)</x:f>
        <x:v>0</x:v>
      </x:c>
    </x:row>
    <x:row r="45" ht="44" customHeight="1">
      <x:c r="A45" s="23" t="str">
        <x:v>C-040</x:v>
      </x:c>
      <x:c r="B45" s="28"/>
      <x:c r="C45" s="23" t="str">
        <x:v>小红书</x:v>
      </x:c>
      <x:c r="D45" s="23" t="str"/>
      <x:c r="E45" s="23" t="str"/>
      <x:c r="F45" s="23" t="str"/>
      <x:c r="G45" s="23" t="str"/>
      <x:c r="H45" s="23" t="n">
        <x:v>0</x:v>
      </x:c>
      <x:c r="I45" s="23" t="n">
        <x:v>0</x:v>
      </x:c>
      <x:c r="J45" s="23" t="n">
        <x:v>0</x:v>
      </x:c>
      <x:c r="K45" s="23" t="n">
        <x:v>0</x:v>
      </x:c>
      <x:c r="L45" s="23" t="n">
        <x:v>0</x:v>
      </x:c>
      <x:c r="M45" s="23" t="n">
        <x:v>0</x:v>
      </x:c>
      <x:c r="N45" s="23" t="n">
        <x:v>0</x:v>
      </x:c>
      <x:c r="O45" s="23" t="n">
        <x:v>0</x:v>
      </x:c>
      <x:c r="P45" s="23" t="n">
        <x:v>0</x:v>
      </x:c>
      <x:c r="Q45" s="23" t="n">
        <x:v>0</x:v>
      </x:c>
      <x:c r="R45" s="23" t="n">
        <x:v>0</x:v>
      </x:c>
      <x:c r="S45" s="23" t="n">
        <x:v>0</x:v>
      </x:c>
      <x:c r="T45" s="23" t="n">
        <x:v>0</x:v>
      </x:c>
      <x:c r="U45" s="24" t="n">
        <x:f>SUM(K45:N45)</x:f>
        <x:v>0</x:v>
      </x:c>
      <x:c r="V45" s="25" t="n">
        <x:f>IFERROR(U45/J45,0)</x:f>
        <x:v>0</x:v>
      </x:c>
      <x:c r="W45" s="25" t="n">
        <x:f>IFERROR(L45/J45,0)</x:f>
        <x:v>0</x:v>
      </x:c>
      <x:c r="X45" s="25" t="n">
        <x:f>IFERROR(P45/O45,0)</x:f>
        <x:v>0</x:v>
      </x:c>
      <x:c r="Y45" s="25" t="n">
        <x:f>IFERROR(R45/Q45,0)</x:f>
        <x:v>0</x:v>
      </x:c>
      <x:c r="Z45" s="25" t="n">
        <x:f>IFERROR(V45*30%+W45*30%+X45*20%+Y45*20%,0)</x:f>
        <x:v>0</x:v>
      </x:c>
    </x:row>
    <x:row r="46" ht="44" customHeight="1">
      <x:c r="A46" s="23" t="str">
        <x:v>C-041</x:v>
      </x:c>
      <x:c r="B46" s="28"/>
      <x:c r="C46" s="23" t="str">
        <x:v>小红书</x:v>
      </x:c>
      <x:c r="D46" s="23" t="str"/>
      <x:c r="E46" s="23" t="str"/>
      <x:c r="F46" s="23" t="str"/>
      <x:c r="G46" s="23" t="str"/>
      <x:c r="H46" s="23" t="n">
        <x:v>0</x:v>
      </x:c>
      <x:c r="I46" s="23" t="n">
        <x:v>0</x:v>
      </x:c>
      <x:c r="J46" s="23" t="n">
        <x:v>0</x:v>
      </x:c>
      <x:c r="K46" s="23" t="n">
        <x:v>0</x:v>
      </x:c>
      <x:c r="L46" s="23" t="n">
        <x:v>0</x:v>
      </x:c>
      <x:c r="M46" s="23" t="n">
        <x:v>0</x:v>
      </x:c>
      <x:c r="N46" s="23" t="n">
        <x:v>0</x:v>
      </x:c>
      <x:c r="O46" s="23" t="n">
        <x:v>0</x:v>
      </x:c>
      <x:c r="P46" s="23" t="n">
        <x:v>0</x:v>
      </x:c>
      <x:c r="Q46" s="23" t="n">
        <x:v>0</x:v>
      </x:c>
      <x:c r="R46" s="23" t="n">
        <x:v>0</x:v>
      </x:c>
      <x:c r="S46" s="23" t="n">
        <x:v>0</x:v>
      </x:c>
      <x:c r="T46" s="23" t="n">
        <x:v>0</x:v>
      </x:c>
      <x:c r="U46" s="24" t="n">
        <x:f>SUM(K46:N46)</x:f>
        <x:v>0</x:v>
      </x:c>
      <x:c r="V46" s="25" t="n">
        <x:f>IFERROR(U46/J46,0)</x:f>
        <x:v>0</x:v>
      </x:c>
      <x:c r="W46" s="25" t="n">
        <x:f>IFERROR(L46/J46,0)</x:f>
        <x:v>0</x:v>
      </x:c>
      <x:c r="X46" s="25" t="n">
        <x:f>IFERROR(P46/O46,0)</x:f>
        <x:v>0</x:v>
      </x:c>
      <x:c r="Y46" s="25" t="n">
        <x:f>IFERROR(R46/Q46,0)</x:f>
        <x:v>0</x:v>
      </x:c>
      <x:c r="Z46" s="25" t="n">
        <x:f>IFERROR(V46*30%+W46*30%+X46*20%+Y46*20%,0)</x:f>
        <x:v>0</x:v>
      </x:c>
    </x:row>
    <x:row r="47" ht="44" customHeight="1">
      <x:c r="A47" s="23" t="str">
        <x:v>C-042</x:v>
      </x:c>
      <x:c r="B47" s="28"/>
      <x:c r="C47" s="23" t="str">
        <x:v>小红书</x:v>
      </x:c>
      <x:c r="D47" s="23" t="str"/>
      <x:c r="E47" s="23" t="str"/>
      <x:c r="F47" s="23" t="str"/>
      <x:c r="G47" s="23" t="str"/>
      <x:c r="H47" s="23" t="n">
        <x:v>0</x:v>
      </x:c>
      <x:c r="I47" s="23" t="n">
        <x:v>0</x:v>
      </x:c>
      <x:c r="J47" s="23" t="n">
        <x:v>0</x:v>
      </x:c>
      <x:c r="K47" s="23" t="n">
        <x:v>0</x:v>
      </x:c>
      <x:c r="L47" s="23" t="n">
        <x:v>0</x:v>
      </x:c>
      <x:c r="M47" s="23" t="n">
        <x:v>0</x:v>
      </x:c>
      <x:c r="N47" s="23" t="n">
        <x:v>0</x:v>
      </x:c>
      <x:c r="O47" s="23" t="n">
        <x:v>0</x:v>
      </x:c>
      <x:c r="P47" s="23" t="n">
        <x:v>0</x:v>
      </x:c>
      <x:c r="Q47" s="23" t="n">
        <x:v>0</x:v>
      </x:c>
      <x:c r="R47" s="23" t="n">
        <x:v>0</x:v>
      </x:c>
      <x:c r="S47" s="23" t="n">
        <x:v>0</x:v>
      </x:c>
      <x:c r="T47" s="23" t="n">
        <x:v>0</x:v>
      </x:c>
      <x:c r="U47" s="24" t="n">
        <x:f>SUM(K47:N47)</x:f>
        <x:v>0</x:v>
      </x:c>
      <x:c r="V47" s="25" t="n">
        <x:f>IFERROR(U47/J47,0)</x:f>
        <x:v>0</x:v>
      </x:c>
      <x:c r="W47" s="25" t="n">
        <x:f>IFERROR(L47/J47,0)</x:f>
        <x:v>0</x:v>
      </x:c>
      <x:c r="X47" s="25" t="n">
        <x:f>IFERROR(P47/O47,0)</x:f>
        <x:v>0</x:v>
      </x:c>
      <x:c r="Y47" s="25" t="n">
        <x:f>IFERROR(R47/Q47,0)</x:f>
        <x:v>0</x:v>
      </x:c>
      <x:c r="Z47" s="25" t="n">
        <x:f>IFERROR(V47*30%+W47*30%+X47*20%+Y47*20%,0)</x:f>
        <x:v>0</x:v>
      </x:c>
    </x:row>
    <x:row r="48" ht="44" customHeight="1">
      <x:c r="A48" s="23" t="str">
        <x:v>C-043</x:v>
      </x:c>
      <x:c r="B48" s="28"/>
      <x:c r="C48" s="23" t="str">
        <x:v>小红书</x:v>
      </x:c>
      <x:c r="D48" s="23" t="str"/>
      <x:c r="E48" s="23" t="str"/>
      <x:c r="F48" s="23" t="str"/>
      <x:c r="G48" s="23" t="str"/>
      <x:c r="H48" s="23" t="n">
        <x:v>0</x:v>
      </x:c>
      <x:c r="I48" s="23" t="n">
        <x:v>0</x:v>
      </x:c>
      <x:c r="J48" s="23" t="n">
        <x:v>0</x:v>
      </x:c>
      <x:c r="K48" s="23" t="n">
        <x:v>0</x:v>
      </x:c>
      <x:c r="L48" s="23" t="n">
        <x:v>0</x:v>
      </x:c>
      <x:c r="M48" s="23" t="n">
        <x:v>0</x:v>
      </x:c>
      <x:c r="N48" s="23" t="n">
        <x:v>0</x:v>
      </x:c>
      <x:c r="O48" s="23" t="n">
        <x:v>0</x:v>
      </x:c>
      <x:c r="P48" s="23" t="n">
        <x:v>0</x:v>
      </x:c>
      <x:c r="Q48" s="23" t="n">
        <x:v>0</x:v>
      </x:c>
      <x:c r="R48" s="23" t="n">
        <x:v>0</x:v>
      </x:c>
      <x:c r="S48" s="23" t="n">
        <x:v>0</x:v>
      </x:c>
      <x:c r="T48" s="23" t="n">
        <x:v>0</x:v>
      </x:c>
      <x:c r="U48" s="24" t="n">
        <x:f>SUM(K48:N48)</x:f>
        <x:v>0</x:v>
      </x:c>
      <x:c r="V48" s="25" t="n">
        <x:f>IFERROR(U48/J48,0)</x:f>
        <x:v>0</x:v>
      </x:c>
      <x:c r="W48" s="25" t="n">
        <x:f>IFERROR(L48/J48,0)</x:f>
        <x:v>0</x:v>
      </x:c>
      <x:c r="X48" s="25" t="n">
        <x:f>IFERROR(P48/O48,0)</x:f>
        <x:v>0</x:v>
      </x:c>
      <x:c r="Y48" s="25" t="n">
        <x:f>IFERROR(R48/Q48,0)</x:f>
        <x:v>0</x:v>
      </x:c>
      <x:c r="Z48" s="25" t="n">
        <x:f>IFERROR(V48*30%+W48*30%+X48*20%+Y48*20%,0)</x:f>
        <x:v>0</x:v>
      </x:c>
    </x:row>
    <x:row r="49" ht="44" customHeight="1">
      <x:c r="A49" s="23" t="str">
        <x:v>C-044</x:v>
      </x:c>
      <x:c r="B49" s="28"/>
      <x:c r="C49" s="23" t="str">
        <x:v>小红书</x:v>
      </x:c>
      <x:c r="D49" s="23" t="str"/>
      <x:c r="E49" s="23" t="str"/>
      <x:c r="F49" s="23" t="str"/>
      <x:c r="G49" s="23" t="str"/>
      <x:c r="H49" s="23" t="n">
        <x:v>0</x:v>
      </x:c>
      <x:c r="I49" s="23" t="n">
        <x:v>0</x:v>
      </x:c>
      <x:c r="J49" s="23" t="n">
        <x:v>0</x:v>
      </x:c>
      <x:c r="K49" s="23" t="n">
        <x:v>0</x:v>
      </x:c>
      <x:c r="L49" s="23" t="n">
        <x:v>0</x:v>
      </x:c>
      <x:c r="M49" s="23" t="n">
        <x:v>0</x:v>
      </x:c>
      <x:c r="N49" s="23" t="n">
        <x:v>0</x:v>
      </x:c>
      <x:c r="O49" s="23" t="n">
        <x:v>0</x:v>
      </x:c>
      <x:c r="P49" s="23" t="n">
        <x:v>0</x:v>
      </x:c>
      <x:c r="Q49" s="23" t="n">
        <x:v>0</x:v>
      </x:c>
      <x:c r="R49" s="23" t="n">
        <x:v>0</x:v>
      </x:c>
      <x:c r="S49" s="23" t="n">
        <x:v>0</x:v>
      </x:c>
      <x:c r="T49" s="23" t="n">
        <x:v>0</x:v>
      </x:c>
      <x:c r="U49" s="24" t="n">
        <x:f>SUM(K49:N49)</x:f>
        <x:v>0</x:v>
      </x:c>
      <x:c r="V49" s="25" t="n">
        <x:f>IFERROR(U49/J49,0)</x:f>
        <x:v>0</x:v>
      </x:c>
      <x:c r="W49" s="25" t="n">
        <x:f>IFERROR(L49/J49,0)</x:f>
        <x:v>0</x:v>
      </x:c>
      <x:c r="X49" s="25" t="n">
        <x:f>IFERROR(P49/O49,0)</x:f>
        <x:v>0</x:v>
      </x:c>
      <x:c r="Y49" s="25" t="n">
        <x:f>IFERROR(R49/Q49,0)</x:f>
        <x:v>0</x:v>
      </x:c>
      <x:c r="Z49" s="25" t="n">
        <x:f>IFERROR(V49*30%+W49*30%+X49*20%+Y49*20%,0)</x:f>
        <x:v>0</x:v>
      </x:c>
    </x:row>
    <x:row r="50" ht="44" customHeight="1">
      <x:c r="A50" s="23" t="str">
        <x:v>C-045</x:v>
      </x:c>
      <x:c r="B50" s="28"/>
      <x:c r="C50" s="23" t="str">
        <x:v>小红书</x:v>
      </x:c>
      <x:c r="D50" s="23" t="str"/>
      <x:c r="E50" s="23" t="str"/>
      <x:c r="F50" s="23" t="str"/>
      <x:c r="G50" s="23" t="str"/>
      <x:c r="H50" s="23" t="n">
        <x:v>0</x:v>
      </x:c>
      <x:c r="I50" s="23" t="n">
        <x:v>0</x:v>
      </x:c>
      <x:c r="J50" s="23" t="n">
        <x:v>0</x:v>
      </x:c>
      <x:c r="K50" s="23" t="n">
        <x:v>0</x:v>
      </x:c>
      <x:c r="L50" s="23" t="n">
        <x:v>0</x:v>
      </x:c>
      <x:c r="M50" s="23" t="n">
        <x:v>0</x:v>
      </x:c>
      <x:c r="N50" s="23" t="n">
        <x:v>0</x:v>
      </x:c>
      <x:c r="O50" s="23" t="n">
        <x:v>0</x:v>
      </x:c>
      <x:c r="P50" s="23" t="n">
        <x:v>0</x:v>
      </x:c>
      <x:c r="Q50" s="23" t="n">
        <x:v>0</x:v>
      </x:c>
      <x:c r="R50" s="23" t="n">
        <x:v>0</x:v>
      </x:c>
      <x:c r="S50" s="23" t="n">
        <x:v>0</x:v>
      </x:c>
      <x:c r="T50" s="23" t="n">
        <x:v>0</x:v>
      </x:c>
      <x:c r="U50" s="24" t="n">
        <x:f>SUM(K50:N50)</x:f>
        <x:v>0</x:v>
      </x:c>
      <x:c r="V50" s="25" t="n">
        <x:f>IFERROR(U50/J50,0)</x:f>
        <x:v>0</x:v>
      </x:c>
      <x:c r="W50" s="25" t="n">
        <x:f>IFERROR(L50/J50,0)</x:f>
        <x:v>0</x:v>
      </x:c>
      <x:c r="X50" s="25" t="n">
        <x:f>IFERROR(P50/O50,0)</x:f>
        <x:v>0</x:v>
      </x:c>
      <x:c r="Y50" s="25" t="n">
        <x:f>IFERROR(R50/Q50,0)</x:f>
        <x:v>0</x:v>
      </x:c>
      <x:c r="Z50" s="25" t="n">
        <x:f>IFERROR(V50*30%+W50*30%+X50*20%+Y50*20%,0)</x:f>
        <x:v>0</x:v>
      </x:c>
    </x:row>
    <x:row r="51" ht="44" customHeight="1">
      <x:c r="A51" s="23" t="str">
        <x:v>C-046</x:v>
      </x:c>
      <x:c r="B51" s="28"/>
      <x:c r="C51" s="23" t="str">
        <x:v>小红书</x:v>
      </x:c>
      <x:c r="D51" s="23" t="str"/>
      <x:c r="E51" s="23" t="str"/>
      <x:c r="F51" s="23" t="str"/>
      <x:c r="G51" s="23" t="str"/>
      <x:c r="H51" s="23" t="n">
        <x:v>0</x:v>
      </x:c>
      <x:c r="I51" s="23" t="n">
        <x:v>0</x:v>
      </x:c>
      <x:c r="J51" s="23" t="n">
        <x:v>0</x:v>
      </x:c>
      <x:c r="K51" s="23" t="n">
        <x:v>0</x:v>
      </x:c>
      <x:c r="L51" s="23" t="n">
        <x:v>0</x:v>
      </x:c>
      <x:c r="M51" s="23" t="n">
        <x:v>0</x:v>
      </x:c>
      <x:c r="N51" s="23" t="n">
        <x:v>0</x:v>
      </x:c>
      <x:c r="O51" s="23" t="n">
        <x:v>0</x:v>
      </x:c>
      <x:c r="P51" s="23" t="n">
        <x:v>0</x:v>
      </x:c>
      <x:c r="Q51" s="23" t="n">
        <x:v>0</x:v>
      </x:c>
      <x:c r="R51" s="23" t="n">
        <x:v>0</x:v>
      </x:c>
      <x:c r="S51" s="23" t="n">
        <x:v>0</x:v>
      </x:c>
      <x:c r="T51" s="23" t="n">
        <x:v>0</x:v>
      </x:c>
      <x:c r="U51" s="24" t="n">
        <x:f>SUM(K51:N51)</x:f>
        <x:v>0</x:v>
      </x:c>
      <x:c r="V51" s="25" t="n">
        <x:f>IFERROR(U51/J51,0)</x:f>
        <x:v>0</x:v>
      </x:c>
      <x:c r="W51" s="25" t="n">
        <x:f>IFERROR(L51/J51,0)</x:f>
        <x:v>0</x:v>
      </x:c>
      <x:c r="X51" s="25" t="n">
        <x:f>IFERROR(P51/O51,0)</x:f>
        <x:v>0</x:v>
      </x:c>
      <x:c r="Y51" s="25" t="n">
        <x:f>IFERROR(R51/Q51,0)</x:f>
        <x:v>0</x:v>
      </x:c>
      <x:c r="Z51" s="25" t="n">
        <x:f>IFERROR(V51*30%+W51*30%+X51*20%+Y51*20%,0)</x:f>
        <x:v>0</x:v>
      </x:c>
    </x:row>
    <x:row r="52" ht="44" customHeight="1">
      <x:c r="A52" s="23" t="str">
        <x:v>C-047</x:v>
      </x:c>
      <x:c r="B52" s="28"/>
      <x:c r="C52" s="23" t="str">
        <x:v>小红书</x:v>
      </x:c>
      <x:c r="D52" s="23" t="str"/>
      <x:c r="E52" s="23" t="str"/>
      <x:c r="F52" s="23" t="str"/>
      <x:c r="G52" s="23" t="str"/>
      <x:c r="H52" s="23" t="n">
        <x:v>0</x:v>
      </x:c>
      <x:c r="I52" s="23" t="n">
        <x:v>0</x:v>
      </x:c>
      <x:c r="J52" s="23" t="n">
        <x:v>0</x:v>
      </x:c>
      <x:c r="K52" s="23" t="n">
        <x:v>0</x:v>
      </x:c>
      <x:c r="L52" s="23" t="n">
        <x:v>0</x:v>
      </x:c>
      <x:c r="M52" s="23" t="n">
        <x:v>0</x:v>
      </x:c>
      <x:c r="N52" s="23" t="n">
        <x:v>0</x:v>
      </x:c>
      <x:c r="O52" s="23" t="n">
        <x:v>0</x:v>
      </x:c>
      <x:c r="P52" s="23" t="n">
        <x:v>0</x:v>
      </x:c>
      <x:c r="Q52" s="23" t="n">
        <x:v>0</x:v>
      </x:c>
      <x:c r="R52" s="23" t="n">
        <x:v>0</x:v>
      </x:c>
      <x:c r="S52" s="23" t="n">
        <x:v>0</x:v>
      </x:c>
      <x:c r="T52" s="23" t="n">
        <x:v>0</x:v>
      </x:c>
      <x:c r="U52" s="24" t="n">
        <x:f>SUM(K52:N52)</x:f>
        <x:v>0</x:v>
      </x:c>
      <x:c r="V52" s="25" t="n">
        <x:f>IFERROR(U52/J52,0)</x:f>
        <x:v>0</x:v>
      </x:c>
      <x:c r="W52" s="25" t="n">
        <x:f>IFERROR(L52/J52,0)</x:f>
        <x:v>0</x:v>
      </x:c>
      <x:c r="X52" s="25" t="n">
        <x:f>IFERROR(P52/O52,0)</x:f>
        <x:v>0</x:v>
      </x:c>
      <x:c r="Y52" s="25" t="n">
        <x:f>IFERROR(R52/Q52,0)</x:f>
        <x:v>0</x:v>
      </x:c>
      <x:c r="Z52" s="25" t="n">
        <x:f>IFERROR(V52*30%+W52*30%+X52*20%+Y52*20%,0)</x:f>
        <x:v>0</x:v>
      </x:c>
    </x:row>
    <x:row r="53" ht="44" customHeight="1">
      <x:c r="A53" s="23" t="str">
        <x:v>C-048</x:v>
      </x:c>
      <x:c r="B53" s="28"/>
      <x:c r="C53" s="23" t="str">
        <x:v>小红书</x:v>
      </x:c>
      <x:c r="D53" s="23" t="str"/>
      <x:c r="E53" s="23" t="str"/>
      <x:c r="F53" s="23" t="str"/>
      <x:c r="G53" s="23" t="str"/>
      <x:c r="H53" s="23" t="n">
        <x:v>0</x:v>
      </x:c>
      <x:c r="I53" s="23" t="n">
        <x:v>0</x:v>
      </x:c>
      <x:c r="J53" s="23" t="n">
        <x:v>0</x:v>
      </x:c>
      <x:c r="K53" s="23" t="n">
        <x:v>0</x:v>
      </x:c>
      <x:c r="L53" s="23" t="n">
        <x:v>0</x:v>
      </x:c>
      <x:c r="M53" s="23" t="n">
        <x:v>0</x:v>
      </x:c>
      <x:c r="N53" s="23" t="n">
        <x:v>0</x:v>
      </x:c>
      <x:c r="O53" s="23" t="n">
        <x:v>0</x:v>
      </x:c>
      <x:c r="P53" s="23" t="n">
        <x:v>0</x:v>
      </x:c>
      <x:c r="Q53" s="23" t="n">
        <x:v>0</x:v>
      </x:c>
      <x:c r="R53" s="23" t="n">
        <x:v>0</x:v>
      </x:c>
      <x:c r="S53" s="23" t="n">
        <x:v>0</x:v>
      </x:c>
      <x:c r="T53" s="23" t="n">
        <x:v>0</x:v>
      </x:c>
      <x:c r="U53" s="24" t="n">
        <x:f>SUM(K53:N53)</x:f>
        <x:v>0</x:v>
      </x:c>
      <x:c r="V53" s="25" t="n">
        <x:f>IFERROR(U53/J53,0)</x:f>
        <x:v>0</x:v>
      </x:c>
      <x:c r="W53" s="25" t="n">
        <x:f>IFERROR(L53/J53,0)</x:f>
        <x:v>0</x:v>
      </x:c>
      <x:c r="X53" s="25" t="n">
        <x:f>IFERROR(P53/O53,0)</x:f>
        <x:v>0</x:v>
      </x:c>
      <x:c r="Y53" s="25" t="n">
        <x:f>IFERROR(R53/Q53,0)</x:f>
        <x:v>0</x:v>
      </x:c>
      <x:c r="Z53" s="25" t="n">
        <x:f>IFERROR(V53*30%+W53*30%+X53*20%+Y53*20%,0)</x:f>
        <x:v>0</x:v>
      </x:c>
    </x:row>
    <x:row r="54" ht="44" customHeight="1">
      <x:c r="A54" s="23" t="str">
        <x:v>C-049</x:v>
      </x:c>
      <x:c r="B54" s="28"/>
      <x:c r="C54" s="23" t="str">
        <x:v>小红书</x:v>
      </x:c>
      <x:c r="D54" s="23" t="str"/>
      <x:c r="E54" s="23" t="str"/>
      <x:c r="F54" s="23" t="str"/>
      <x:c r="G54" s="23" t="str"/>
      <x:c r="H54" s="23" t="n">
        <x:v>0</x:v>
      </x:c>
      <x:c r="I54" s="23" t="n">
        <x:v>0</x:v>
      </x:c>
      <x:c r="J54" s="23" t="n">
        <x:v>0</x:v>
      </x:c>
      <x:c r="K54" s="23" t="n">
        <x:v>0</x:v>
      </x:c>
      <x:c r="L54" s="23" t="n">
        <x:v>0</x:v>
      </x:c>
      <x:c r="M54" s="23" t="n">
        <x:v>0</x:v>
      </x:c>
      <x:c r="N54" s="23" t="n">
        <x:v>0</x:v>
      </x:c>
      <x:c r="O54" s="23" t="n">
        <x:v>0</x:v>
      </x:c>
      <x:c r="P54" s="23" t="n">
        <x:v>0</x:v>
      </x:c>
      <x:c r="Q54" s="23" t="n">
        <x:v>0</x:v>
      </x:c>
      <x:c r="R54" s="23" t="n">
        <x:v>0</x:v>
      </x:c>
      <x:c r="S54" s="23" t="n">
        <x:v>0</x:v>
      </x:c>
      <x:c r="T54" s="23" t="n">
        <x:v>0</x:v>
      </x:c>
      <x:c r="U54" s="24" t="n">
        <x:f>SUM(K54:N54)</x:f>
        <x:v>0</x:v>
      </x:c>
      <x:c r="V54" s="25" t="n">
        <x:f>IFERROR(U54/J54,0)</x:f>
        <x:v>0</x:v>
      </x:c>
      <x:c r="W54" s="25" t="n">
        <x:f>IFERROR(L54/J54,0)</x:f>
        <x:v>0</x:v>
      </x:c>
      <x:c r="X54" s="25" t="n">
        <x:f>IFERROR(P54/O54,0)</x:f>
        <x:v>0</x:v>
      </x:c>
      <x:c r="Y54" s="25" t="n">
        <x:f>IFERROR(R54/Q54,0)</x:f>
        <x:v>0</x:v>
      </x:c>
      <x:c r="Z54" s="25" t="n">
        <x:f>IFERROR(V54*30%+W54*30%+X54*20%+Y54*20%,0)</x:f>
        <x:v>0</x:v>
      </x:c>
    </x:row>
    <x:row r="55" ht="44" customHeight="1">
      <x:c r="A55" s="23" t="str">
        <x:v>C-050</x:v>
      </x:c>
      <x:c r="B55" s="28"/>
      <x:c r="C55" s="23" t="str">
        <x:v>小红书</x:v>
      </x:c>
      <x:c r="D55" s="23" t="str"/>
      <x:c r="E55" s="23" t="str"/>
      <x:c r="F55" s="23" t="str"/>
      <x:c r="G55" s="23" t="str"/>
      <x:c r="H55" s="23" t="n">
        <x:v>0</x:v>
      </x:c>
      <x:c r="I55" s="23" t="n">
        <x:v>0</x:v>
      </x:c>
      <x:c r="J55" s="23" t="n">
        <x:v>0</x:v>
      </x:c>
      <x:c r="K55" s="23" t="n">
        <x:v>0</x:v>
      </x:c>
      <x:c r="L55" s="23" t="n">
        <x:v>0</x:v>
      </x:c>
      <x:c r="M55" s="23" t="n">
        <x:v>0</x:v>
      </x:c>
      <x:c r="N55" s="23" t="n">
        <x:v>0</x:v>
      </x:c>
      <x:c r="O55" s="23" t="n">
        <x:v>0</x:v>
      </x:c>
      <x:c r="P55" s="23" t="n">
        <x:v>0</x:v>
      </x:c>
      <x:c r="Q55" s="23" t="n">
        <x:v>0</x:v>
      </x:c>
      <x:c r="R55" s="23" t="n">
        <x:v>0</x:v>
      </x:c>
      <x:c r="S55" s="23" t="n">
        <x:v>0</x:v>
      </x:c>
      <x:c r="T55" s="23" t="n">
        <x:v>0</x:v>
      </x:c>
      <x:c r="U55" s="24" t="n">
        <x:f>SUM(K55:N55)</x:f>
        <x:v>0</x:v>
      </x:c>
      <x:c r="V55" s="25" t="n">
        <x:f>IFERROR(U55/J55,0)</x:f>
        <x:v>0</x:v>
      </x:c>
      <x:c r="W55" s="25" t="n">
        <x:f>IFERROR(L55/J55,0)</x:f>
        <x:v>0</x:v>
      </x:c>
      <x:c r="X55" s="25" t="n">
        <x:f>IFERROR(P55/O55,0)</x:f>
        <x:v>0</x:v>
      </x:c>
      <x:c r="Y55" s="25" t="n">
        <x:f>IFERROR(R55/Q55,0)</x:f>
        <x:v>0</x:v>
      </x:c>
      <x:c r="Z55" s="25" t="n">
        <x:f>IFERROR(V55*30%+W55*30%+X55*20%+Y55*20%,0)</x:f>
        <x:v>0</x:v>
      </x:c>
    </x:row>
    <x:row r="56" ht="44" customHeight="1">
      <x:c r="A56" s="23" t="str">
        <x:v>C-051</x:v>
      </x:c>
      <x:c r="B56" s="28"/>
      <x:c r="C56" s="23" t="str">
        <x:v>小红书</x:v>
      </x:c>
      <x:c r="D56" s="23" t="str"/>
      <x:c r="E56" s="23" t="str"/>
      <x:c r="F56" s="23" t="str"/>
      <x:c r="G56" s="23" t="str"/>
      <x:c r="H56" s="23" t="n">
        <x:v>0</x:v>
      </x:c>
      <x:c r="I56" s="23" t="n">
        <x:v>0</x:v>
      </x:c>
      <x:c r="J56" s="23" t="n">
        <x:v>0</x:v>
      </x:c>
      <x:c r="K56" s="23" t="n">
        <x:v>0</x:v>
      </x:c>
      <x:c r="L56" s="23" t="n">
        <x:v>0</x:v>
      </x:c>
      <x:c r="M56" s="23" t="n">
        <x:v>0</x:v>
      </x:c>
      <x:c r="N56" s="23" t="n">
        <x:v>0</x:v>
      </x:c>
      <x:c r="O56" s="23" t="n">
        <x:v>0</x:v>
      </x:c>
      <x:c r="P56" s="23" t="n">
        <x:v>0</x:v>
      </x:c>
      <x:c r="Q56" s="23" t="n">
        <x:v>0</x:v>
      </x:c>
      <x:c r="R56" s="23" t="n">
        <x:v>0</x:v>
      </x:c>
      <x:c r="S56" s="23" t="n">
        <x:v>0</x:v>
      </x:c>
      <x:c r="T56" s="23" t="n">
        <x:v>0</x:v>
      </x:c>
      <x:c r="U56" s="24" t="n">
        <x:f>SUM(K56:N56)</x:f>
        <x:v>0</x:v>
      </x:c>
      <x:c r="V56" s="25" t="n">
        <x:f>IFERROR(U56/J56,0)</x:f>
        <x:v>0</x:v>
      </x:c>
      <x:c r="W56" s="25" t="n">
        <x:f>IFERROR(L56/J56,0)</x:f>
        <x:v>0</x:v>
      </x:c>
      <x:c r="X56" s="25" t="n">
        <x:f>IFERROR(P56/O56,0)</x:f>
        <x:v>0</x:v>
      </x:c>
      <x:c r="Y56" s="25" t="n">
        <x:f>IFERROR(R56/Q56,0)</x:f>
        <x:v>0</x:v>
      </x:c>
      <x:c r="Z56" s="25" t="n">
        <x:f>IFERROR(V56*30%+W56*30%+X56*20%+Y56*20%,0)</x:f>
        <x:v>0</x:v>
      </x:c>
    </x:row>
    <x:row r="57" ht="44" customHeight="1">
      <x:c r="A57" s="23" t="str">
        <x:v>C-052</x:v>
      </x:c>
      <x:c r="B57" s="28"/>
      <x:c r="C57" s="23" t="str">
        <x:v>小红书</x:v>
      </x:c>
      <x:c r="D57" s="23" t="str"/>
      <x:c r="E57" s="23" t="str"/>
      <x:c r="F57" s="23" t="str"/>
      <x:c r="G57" s="23" t="str"/>
      <x:c r="H57" s="23" t="n">
        <x:v>0</x:v>
      </x:c>
      <x:c r="I57" s="23" t="n">
        <x:v>0</x:v>
      </x:c>
      <x:c r="J57" s="23" t="n">
        <x:v>0</x:v>
      </x:c>
      <x:c r="K57" s="23" t="n">
        <x:v>0</x:v>
      </x:c>
      <x:c r="L57" s="23" t="n">
        <x:v>0</x:v>
      </x:c>
      <x:c r="M57" s="23" t="n">
        <x:v>0</x:v>
      </x:c>
      <x:c r="N57" s="23" t="n">
        <x:v>0</x:v>
      </x:c>
      <x:c r="O57" s="23" t="n">
        <x:v>0</x:v>
      </x:c>
      <x:c r="P57" s="23" t="n">
        <x:v>0</x:v>
      </x:c>
      <x:c r="Q57" s="23" t="n">
        <x:v>0</x:v>
      </x:c>
      <x:c r="R57" s="23" t="n">
        <x:v>0</x:v>
      </x:c>
      <x:c r="S57" s="23" t="n">
        <x:v>0</x:v>
      </x:c>
      <x:c r="T57" s="23" t="n">
        <x:v>0</x:v>
      </x:c>
      <x:c r="U57" s="24" t="n">
        <x:f>SUM(K57:N57)</x:f>
        <x:v>0</x:v>
      </x:c>
      <x:c r="V57" s="25" t="n">
        <x:f>IFERROR(U57/J57,0)</x:f>
        <x:v>0</x:v>
      </x:c>
      <x:c r="W57" s="25" t="n">
        <x:f>IFERROR(L57/J57,0)</x:f>
        <x:v>0</x:v>
      </x:c>
      <x:c r="X57" s="25" t="n">
        <x:f>IFERROR(P57/O57,0)</x:f>
        <x:v>0</x:v>
      </x:c>
      <x:c r="Y57" s="25" t="n">
        <x:f>IFERROR(R57/Q57,0)</x:f>
        <x:v>0</x:v>
      </x:c>
      <x:c r="Z57" s="25" t="n">
        <x:f>IFERROR(V57*30%+W57*30%+X57*20%+Y57*20%,0)</x:f>
        <x:v>0</x:v>
      </x:c>
    </x:row>
    <x:row r="58" ht="44" customHeight="1">
      <x:c r="A58" s="23" t="str">
        <x:v>C-053</x:v>
      </x:c>
      <x:c r="B58" s="28"/>
      <x:c r="C58" s="23" t="str">
        <x:v>小红书</x:v>
      </x:c>
      <x:c r="D58" s="23" t="str"/>
      <x:c r="E58" s="23" t="str"/>
      <x:c r="F58" s="23" t="str"/>
      <x:c r="G58" s="23" t="str"/>
      <x:c r="H58" s="23" t="n">
        <x:v>0</x:v>
      </x:c>
      <x:c r="I58" s="23" t="n">
        <x:v>0</x:v>
      </x:c>
      <x:c r="J58" s="23" t="n">
        <x:v>0</x:v>
      </x:c>
      <x:c r="K58" s="23" t="n">
        <x:v>0</x:v>
      </x:c>
      <x:c r="L58" s="23" t="n">
        <x:v>0</x:v>
      </x:c>
      <x:c r="M58" s="23" t="n">
        <x:v>0</x:v>
      </x:c>
      <x:c r="N58" s="23" t="n">
        <x:v>0</x:v>
      </x:c>
      <x:c r="O58" s="23" t="n">
        <x:v>0</x:v>
      </x:c>
      <x:c r="P58" s="23" t="n">
        <x:v>0</x:v>
      </x:c>
      <x:c r="Q58" s="23" t="n">
        <x:v>0</x:v>
      </x:c>
      <x:c r="R58" s="23" t="n">
        <x:v>0</x:v>
      </x:c>
      <x:c r="S58" s="23" t="n">
        <x:v>0</x:v>
      </x:c>
      <x:c r="T58" s="23" t="n">
        <x:v>0</x:v>
      </x:c>
      <x:c r="U58" s="24" t="n">
        <x:f>SUM(K58:N58)</x:f>
        <x:v>0</x:v>
      </x:c>
      <x:c r="V58" s="25" t="n">
        <x:f>IFERROR(U58/J58,0)</x:f>
        <x:v>0</x:v>
      </x:c>
      <x:c r="W58" s="25" t="n">
        <x:f>IFERROR(L58/J58,0)</x:f>
        <x:v>0</x:v>
      </x:c>
      <x:c r="X58" s="25" t="n">
        <x:f>IFERROR(P58/O58,0)</x:f>
        <x:v>0</x:v>
      </x:c>
      <x:c r="Y58" s="25" t="n">
        <x:f>IFERROR(R58/Q58,0)</x:f>
        <x:v>0</x:v>
      </x:c>
      <x:c r="Z58" s="25" t="n">
        <x:f>IFERROR(V58*30%+W58*30%+X58*20%+Y58*20%,0)</x:f>
        <x:v>0</x:v>
      </x:c>
    </x:row>
    <x:row r="59" ht="44" customHeight="1">
      <x:c r="A59" s="23" t="str">
        <x:v>C-054</x:v>
      </x:c>
      <x:c r="B59" s="28"/>
      <x:c r="C59" s="23" t="str">
        <x:v>小红书</x:v>
      </x:c>
      <x:c r="D59" s="23" t="str"/>
      <x:c r="E59" s="23" t="str"/>
      <x:c r="F59" s="23" t="str"/>
      <x:c r="G59" s="23" t="str"/>
      <x:c r="H59" s="23" t="n">
        <x:v>0</x:v>
      </x:c>
      <x:c r="I59" s="23" t="n">
        <x:v>0</x:v>
      </x:c>
      <x:c r="J59" s="23" t="n">
        <x:v>0</x:v>
      </x:c>
      <x:c r="K59" s="23" t="n">
        <x:v>0</x:v>
      </x:c>
      <x:c r="L59" s="23" t="n">
        <x:v>0</x:v>
      </x:c>
      <x:c r="M59" s="23" t="n">
        <x:v>0</x:v>
      </x:c>
      <x:c r="N59" s="23" t="n">
        <x:v>0</x:v>
      </x:c>
      <x:c r="O59" s="23" t="n">
        <x:v>0</x:v>
      </x:c>
      <x:c r="P59" s="23" t="n">
        <x:v>0</x:v>
      </x:c>
      <x:c r="Q59" s="23" t="n">
        <x:v>0</x:v>
      </x:c>
      <x:c r="R59" s="23" t="n">
        <x:v>0</x:v>
      </x:c>
      <x:c r="S59" s="23" t="n">
        <x:v>0</x:v>
      </x:c>
      <x:c r="T59" s="23" t="n">
        <x:v>0</x:v>
      </x:c>
      <x:c r="U59" s="24" t="n">
        <x:f>SUM(K59:N59)</x:f>
        <x:v>0</x:v>
      </x:c>
      <x:c r="V59" s="25" t="n">
        <x:f>IFERROR(U59/J59,0)</x:f>
        <x:v>0</x:v>
      </x:c>
      <x:c r="W59" s="25" t="n">
        <x:f>IFERROR(L59/J59,0)</x:f>
        <x:v>0</x:v>
      </x:c>
      <x:c r="X59" s="25" t="n">
        <x:f>IFERROR(P59/O59,0)</x:f>
        <x:v>0</x:v>
      </x:c>
      <x:c r="Y59" s="25" t="n">
        <x:f>IFERROR(R59/Q59,0)</x:f>
        <x:v>0</x:v>
      </x:c>
      <x:c r="Z59" s="25" t="n">
        <x:f>IFERROR(V59*30%+W59*30%+X59*20%+Y59*20%,0)</x:f>
        <x:v>0</x:v>
      </x:c>
    </x:row>
    <x:row r="60" ht="44" customHeight="1">
      <x:c r="A60" s="23" t="str">
        <x:v>C-055</x:v>
      </x:c>
      <x:c r="B60" s="28"/>
      <x:c r="C60" s="23" t="str">
        <x:v>小红书</x:v>
      </x:c>
      <x:c r="D60" s="23" t="str"/>
      <x:c r="E60" s="23" t="str"/>
      <x:c r="F60" s="23" t="str"/>
      <x:c r="G60" s="23" t="str"/>
      <x:c r="H60" s="23" t="n">
        <x:v>0</x:v>
      </x:c>
      <x:c r="I60" s="23" t="n">
        <x:v>0</x:v>
      </x:c>
      <x:c r="J60" s="23" t="n">
        <x:v>0</x:v>
      </x:c>
      <x:c r="K60" s="23" t="n">
        <x:v>0</x:v>
      </x:c>
      <x:c r="L60" s="23" t="n">
        <x:v>0</x:v>
      </x:c>
      <x:c r="M60" s="23" t="n">
        <x:v>0</x:v>
      </x:c>
      <x:c r="N60" s="23" t="n">
        <x:v>0</x:v>
      </x:c>
      <x:c r="O60" s="23" t="n">
        <x:v>0</x:v>
      </x:c>
      <x:c r="P60" s="23" t="n">
        <x:v>0</x:v>
      </x:c>
      <x:c r="Q60" s="23" t="n">
        <x:v>0</x:v>
      </x:c>
      <x:c r="R60" s="23" t="n">
        <x:v>0</x:v>
      </x:c>
      <x:c r="S60" s="23" t="n">
        <x:v>0</x:v>
      </x:c>
      <x:c r="T60" s="23" t="n">
        <x:v>0</x:v>
      </x:c>
      <x:c r="U60" s="24" t="n">
        <x:f>SUM(K60:N60)</x:f>
        <x:v>0</x:v>
      </x:c>
      <x:c r="V60" s="25" t="n">
        <x:f>IFERROR(U60/J60,0)</x:f>
        <x:v>0</x:v>
      </x:c>
      <x:c r="W60" s="25" t="n">
        <x:f>IFERROR(L60/J60,0)</x:f>
        <x:v>0</x:v>
      </x:c>
      <x:c r="X60" s="25" t="n">
        <x:f>IFERROR(P60/O60,0)</x:f>
        <x:v>0</x:v>
      </x:c>
      <x:c r="Y60" s="25" t="n">
        <x:f>IFERROR(R60/Q60,0)</x:f>
        <x:v>0</x:v>
      </x:c>
      <x:c r="Z60" s="25" t="n">
        <x:f>IFERROR(V60*30%+W60*30%+X60*20%+Y60*20%,0)</x:f>
        <x:v>0</x:v>
      </x:c>
    </x:row>
    <x:row r="61" ht="44" customHeight="1">
      <x:c r="A61" s="23" t="str">
        <x:v>C-056</x:v>
      </x:c>
      <x:c r="B61" s="28"/>
      <x:c r="C61" s="23" t="str">
        <x:v>小红书</x:v>
      </x:c>
      <x:c r="D61" s="23" t="str"/>
      <x:c r="E61" s="23" t="str"/>
      <x:c r="F61" s="23" t="str"/>
      <x:c r="G61" s="23" t="str"/>
      <x:c r="H61" s="23" t="n">
        <x:v>0</x:v>
      </x:c>
      <x:c r="I61" s="23" t="n">
        <x:v>0</x:v>
      </x:c>
      <x:c r="J61" s="23" t="n">
        <x:v>0</x:v>
      </x:c>
      <x:c r="K61" s="23" t="n">
        <x:v>0</x:v>
      </x:c>
      <x:c r="L61" s="23" t="n">
        <x:v>0</x:v>
      </x:c>
      <x:c r="M61" s="23" t="n">
        <x:v>0</x:v>
      </x:c>
      <x:c r="N61" s="23" t="n">
        <x:v>0</x:v>
      </x:c>
      <x:c r="O61" s="23" t="n">
        <x:v>0</x:v>
      </x:c>
      <x:c r="P61" s="23" t="n">
        <x:v>0</x:v>
      </x:c>
      <x:c r="Q61" s="23" t="n">
        <x:v>0</x:v>
      </x:c>
      <x:c r="R61" s="23" t="n">
        <x:v>0</x:v>
      </x:c>
      <x:c r="S61" s="23" t="n">
        <x:v>0</x:v>
      </x:c>
      <x:c r="T61" s="23" t="n">
        <x:v>0</x:v>
      </x:c>
      <x:c r="U61" s="24" t="n">
        <x:f>SUM(K61:N61)</x:f>
        <x:v>0</x:v>
      </x:c>
      <x:c r="V61" s="25" t="n">
        <x:f>IFERROR(U61/J61,0)</x:f>
        <x:v>0</x:v>
      </x:c>
      <x:c r="W61" s="25" t="n">
        <x:f>IFERROR(L61/J61,0)</x:f>
        <x:v>0</x:v>
      </x:c>
      <x:c r="X61" s="25" t="n">
        <x:f>IFERROR(P61/O61,0)</x:f>
        <x:v>0</x:v>
      </x:c>
      <x:c r="Y61" s="25" t="n">
        <x:f>IFERROR(R61/Q61,0)</x:f>
        <x:v>0</x:v>
      </x:c>
      <x:c r="Z61" s="25" t="n">
        <x:f>IFERROR(V61*30%+W61*30%+X61*20%+Y61*20%,0)</x:f>
        <x:v>0</x:v>
      </x:c>
    </x:row>
    <x:row r="62" ht="44" customHeight="1">
      <x:c r="A62" s="23" t="str">
        <x:v>C-057</x:v>
      </x:c>
      <x:c r="B62" s="28"/>
      <x:c r="C62" s="23" t="str">
        <x:v>小红书</x:v>
      </x:c>
      <x:c r="D62" s="23" t="str"/>
      <x:c r="E62" s="23" t="str"/>
      <x:c r="F62" s="23" t="str"/>
      <x:c r="G62" s="23" t="str"/>
      <x:c r="H62" s="23" t="n">
        <x:v>0</x:v>
      </x:c>
      <x:c r="I62" s="23" t="n">
        <x:v>0</x:v>
      </x:c>
      <x:c r="J62" s="23" t="n">
        <x:v>0</x:v>
      </x:c>
      <x:c r="K62" s="23" t="n">
        <x:v>0</x:v>
      </x:c>
      <x:c r="L62" s="23" t="n">
        <x:v>0</x:v>
      </x:c>
      <x:c r="M62" s="23" t="n">
        <x:v>0</x:v>
      </x:c>
      <x:c r="N62" s="23" t="n">
        <x:v>0</x:v>
      </x:c>
      <x:c r="O62" s="23" t="n">
        <x:v>0</x:v>
      </x:c>
      <x:c r="P62" s="23" t="n">
        <x:v>0</x:v>
      </x:c>
      <x:c r="Q62" s="23" t="n">
        <x:v>0</x:v>
      </x:c>
      <x:c r="R62" s="23" t="n">
        <x:v>0</x:v>
      </x:c>
      <x:c r="S62" s="23" t="n">
        <x:v>0</x:v>
      </x:c>
      <x:c r="T62" s="23" t="n">
        <x:v>0</x:v>
      </x:c>
      <x:c r="U62" s="24" t="n">
        <x:f>SUM(K62:N62)</x:f>
        <x:v>0</x:v>
      </x:c>
      <x:c r="V62" s="25" t="n">
        <x:f>IFERROR(U62/J62,0)</x:f>
        <x:v>0</x:v>
      </x:c>
      <x:c r="W62" s="25" t="n">
        <x:f>IFERROR(L62/J62,0)</x:f>
        <x:v>0</x:v>
      </x:c>
      <x:c r="X62" s="25" t="n">
        <x:f>IFERROR(P62/O62,0)</x:f>
        <x:v>0</x:v>
      </x:c>
      <x:c r="Y62" s="25" t="n">
        <x:f>IFERROR(R62/Q62,0)</x:f>
        <x:v>0</x:v>
      </x:c>
      <x:c r="Z62" s="25" t="n">
        <x:f>IFERROR(V62*30%+W62*30%+X62*20%+Y62*20%,0)</x:f>
        <x:v>0</x:v>
      </x:c>
    </x:row>
    <x:row r="63" ht="44" customHeight="1">
      <x:c r="A63" s="23" t="str">
        <x:v>C-058</x:v>
      </x:c>
      <x:c r="B63" s="28"/>
      <x:c r="C63" s="23" t="str">
        <x:v>小红书</x:v>
      </x:c>
      <x:c r="D63" s="23" t="str"/>
      <x:c r="E63" s="23" t="str"/>
      <x:c r="F63" s="23" t="str"/>
      <x:c r="G63" s="23" t="str"/>
      <x:c r="H63" s="23" t="n">
        <x:v>0</x:v>
      </x:c>
      <x:c r="I63" s="23" t="n">
        <x:v>0</x:v>
      </x:c>
      <x:c r="J63" s="23" t="n">
        <x:v>0</x:v>
      </x:c>
      <x:c r="K63" s="23" t="n">
        <x:v>0</x:v>
      </x:c>
      <x:c r="L63" s="23" t="n">
        <x:v>0</x:v>
      </x:c>
      <x:c r="M63" s="23" t="n">
        <x:v>0</x:v>
      </x:c>
      <x:c r="N63" s="23" t="n">
        <x:v>0</x:v>
      </x:c>
      <x:c r="O63" s="23" t="n">
        <x:v>0</x:v>
      </x:c>
      <x:c r="P63" s="23" t="n">
        <x:v>0</x:v>
      </x:c>
      <x:c r="Q63" s="23" t="n">
        <x:v>0</x:v>
      </x:c>
      <x:c r="R63" s="23" t="n">
        <x:v>0</x:v>
      </x:c>
      <x:c r="S63" s="23" t="n">
        <x:v>0</x:v>
      </x:c>
      <x:c r="T63" s="23" t="n">
        <x:v>0</x:v>
      </x:c>
      <x:c r="U63" s="24" t="n">
        <x:f>SUM(K63:N63)</x:f>
        <x:v>0</x:v>
      </x:c>
      <x:c r="V63" s="25" t="n">
        <x:f>IFERROR(U63/J63,0)</x:f>
        <x:v>0</x:v>
      </x:c>
      <x:c r="W63" s="25" t="n">
        <x:f>IFERROR(L63/J63,0)</x:f>
        <x:v>0</x:v>
      </x:c>
      <x:c r="X63" s="25" t="n">
        <x:f>IFERROR(P63/O63,0)</x:f>
        <x:v>0</x:v>
      </x:c>
      <x:c r="Y63" s="25" t="n">
        <x:f>IFERROR(R63/Q63,0)</x:f>
        <x:v>0</x:v>
      </x:c>
      <x:c r="Z63" s="25" t="n">
        <x:f>IFERROR(V63*30%+W63*30%+X63*20%+Y63*20%,0)</x:f>
        <x:v>0</x:v>
      </x:c>
    </x:row>
    <x:row r="64" ht="44" customHeight="1">
      <x:c r="A64" s="23" t="str">
        <x:v>C-059</x:v>
      </x:c>
      <x:c r="B64" s="28"/>
      <x:c r="C64" s="23" t="str">
        <x:v>小红书</x:v>
      </x:c>
      <x:c r="D64" s="23" t="str"/>
      <x:c r="E64" s="23" t="str"/>
      <x:c r="F64" s="23" t="str"/>
      <x:c r="G64" s="23" t="str"/>
      <x:c r="H64" s="23" t="n">
        <x:v>0</x:v>
      </x:c>
      <x:c r="I64" s="23" t="n">
        <x:v>0</x:v>
      </x:c>
      <x:c r="J64" s="23" t="n">
        <x:v>0</x:v>
      </x:c>
      <x:c r="K64" s="23" t="n">
        <x:v>0</x:v>
      </x:c>
      <x:c r="L64" s="23" t="n">
        <x:v>0</x:v>
      </x:c>
      <x:c r="M64" s="23" t="n">
        <x:v>0</x:v>
      </x:c>
      <x:c r="N64" s="23" t="n">
        <x:v>0</x:v>
      </x:c>
      <x:c r="O64" s="23" t="n">
        <x:v>0</x:v>
      </x:c>
      <x:c r="P64" s="23" t="n">
        <x:v>0</x:v>
      </x:c>
      <x:c r="Q64" s="23" t="n">
        <x:v>0</x:v>
      </x:c>
      <x:c r="R64" s="23" t="n">
        <x:v>0</x:v>
      </x:c>
      <x:c r="S64" s="23" t="n">
        <x:v>0</x:v>
      </x:c>
      <x:c r="T64" s="23" t="n">
        <x:v>0</x:v>
      </x:c>
      <x:c r="U64" s="24" t="n">
        <x:f>SUM(K64:N64)</x:f>
        <x:v>0</x:v>
      </x:c>
      <x:c r="V64" s="25" t="n">
        <x:f>IFERROR(U64/J64,0)</x:f>
        <x:v>0</x:v>
      </x:c>
      <x:c r="W64" s="25" t="n">
        <x:f>IFERROR(L64/J64,0)</x:f>
        <x:v>0</x:v>
      </x:c>
      <x:c r="X64" s="25" t="n">
        <x:f>IFERROR(P64/O64,0)</x:f>
        <x:v>0</x:v>
      </x:c>
      <x:c r="Y64" s="25" t="n">
        <x:f>IFERROR(R64/Q64,0)</x:f>
        <x:v>0</x:v>
      </x:c>
      <x:c r="Z64" s="25" t="n">
        <x:f>IFERROR(V64*30%+W64*30%+X64*20%+Y64*20%,0)</x:f>
        <x:v>0</x:v>
      </x:c>
    </x:row>
    <x:row r="65" ht="44" customHeight="1">
      <x:c r="A65" s="23" t="str">
        <x:v>C-060</x:v>
      </x:c>
      <x:c r="B65" s="28"/>
      <x:c r="C65" s="23" t="str">
        <x:v>小红书</x:v>
      </x:c>
      <x:c r="D65" s="23" t="str"/>
      <x:c r="E65" s="23" t="str"/>
      <x:c r="F65" s="23" t="str"/>
      <x:c r="G65" s="23" t="str"/>
      <x:c r="H65" s="23" t="n">
        <x:v>0</x:v>
      </x:c>
      <x:c r="I65" s="23" t="n">
        <x:v>0</x:v>
      </x:c>
      <x:c r="J65" s="23" t="n">
        <x:v>0</x:v>
      </x:c>
      <x:c r="K65" s="23" t="n">
        <x:v>0</x:v>
      </x:c>
      <x:c r="L65" s="23" t="n">
        <x:v>0</x:v>
      </x:c>
      <x:c r="M65" s="23" t="n">
        <x:v>0</x:v>
      </x:c>
      <x:c r="N65" s="23" t="n">
        <x:v>0</x:v>
      </x:c>
      <x:c r="O65" s="23" t="n">
        <x:v>0</x:v>
      </x:c>
      <x:c r="P65" s="23" t="n">
        <x:v>0</x:v>
      </x:c>
      <x:c r="Q65" s="23" t="n">
        <x:v>0</x:v>
      </x:c>
      <x:c r="R65" s="23" t="n">
        <x:v>0</x:v>
      </x:c>
      <x:c r="S65" s="23" t="n">
        <x:v>0</x:v>
      </x:c>
      <x:c r="T65" s="23" t="n">
        <x:v>0</x:v>
      </x:c>
      <x:c r="U65" s="24" t="n">
        <x:f>SUM(K65:N65)</x:f>
        <x:v>0</x:v>
      </x:c>
      <x:c r="V65" s="25" t="n">
        <x:f>IFERROR(U65/J65,0)</x:f>
        <x:v>0</x:v>
      </x:c>
      <x:c r="W65" s="25" t="n">
        <x:f>IFERROR(L65/J65,0)</x:f>
        <x:v>0</x:v>
      </x:c>
      <x:c r="X65" s="25" t="n">
        <x:f>IFERROR(P65/O65,0)</x:f>
        <x:v>0</x:v>
      </x:c>
      <x:c r="Y65" s="25" t="n">
        <x:f>IFERROR(R65/Q65,0)</x:f>
        <x:v>0</x:v>
      </x:c>
      <x:c r="Z65" s="25" t="n">
        <x:f>IFERROR(V65*30%+W65*30%+X65*20%+Y65*20%,0)</x:f>
        <x:v>0</x:v>
      </x:c>
    </x:row>
    <x:row r="66" ht="44" customHeight="1">
      <x:c r="A66" s="23" t="str">
        <x:v>C-061</x:v>
      </x:c>
      <x:c r="B66" s="28"/>
      <x:c r="C66" s="23" t="str">
        <x:v>小红书</x:v>
      </x:c>
      <x:c r="D66" s="23" t="str"/>
      <x:c r="E66" s="23" t="str"/>
      <x:c r="F66" s="23" t="str"/>
      <x:c r="G66" s="23" t="str"/>
      <x:c r="H66" s="23" t="n">
        <x:v>0</x:v>
      </x:c>
      <x:c r="I66" s="23" t="n">
        <x:v>0</x:v>
      </x:c>
      <x:c r="J66" s="23" t="n">
        <x:v>0</x:v>
      </x:c>
      <x:c r="K66" s="23" t="n">
        <x:v>0</x:v>
      </x:c>
      <x:c r="L66" s="23" t="n">
        <x:v>0</x:v>
      </x:c>
      <x:c r="M66" s="23" t="n">
        <x:v>0</x:v>
      </x:c>
      <x:c r="N66" s="23" t="n">
        <x:v>0</x:v>
      </x:c>
      <x:c r="O66" s="23" t="n">
        <x:v>0</x:v>
      </x:c>
      <x:c r="P66" s="23" t="n">
        <x:v>0</x:v>
      </x:c>
      <x:c r="Q66" s="23" t="n">
        <x:v>0</x:v>
      </x:c>
      <x:c r="R66" s="23" t="n">
        <x:v>0</x:v>
      </x:c>
      <x:c r="S66" s="23" t="n">
        <x:v>0</x:v>
      </x:c>
      <x:c r="T66" s="23" t="n">
        <x:v>0</x:v>
      </x:c>
      <x:c r="U66" s="24" t="n">
        <x:f>SUM(K66:N66)</x:f>
        <x:v>0</x:v>
      </x:c>
      <x:c r="V66" s="25" t="n">
        <x:f>IFERROR(U66/J66,0)</x:f>
        <x:v>0</x:v>
      </x:c>
      <x:c r="W66" s="25" t="n">
        <x:f>IFERROR(L66/J66,0)</x:f>
        <x:v>0</x:v>
      </x:c>
      <x:c r="X66" s="25" t="n">
        <x:f>IFERROR(P66/O66,0)</x:f>
        <x:v>0</x:v>
      </x:c>
      <x:c r="Y66" s="25" t="n">
        <x:f>IFERROR(R66/Q66,0)</x:f>
        <x:v>0</x:v>
      </x:c>
      <x:c r="Z66" s="25" t="n">
        <x:f>IFERROR(V66*30%+W66*30%+X66*20%+Y66*20%,0)</x:f>
        <x:v>0</x:v>
      </x:c>
    </x:row>
    <x:row r="67" ht="44" customHeight="1">
      <x:c r="A67" s="23" t="str">
        <x:v>C-062</x:v>
      </x:c>
      <x:c r="B67" s="28"/>
      <x:c r="C67" s="23" t="str">
        <x:v>小红书</x:v>
      </x:c>
      <x:c r="D67" s="23" t="str"/>
      <x:c r="E67" s="23" t="str"/>
      <x:c r="F67" s="23" t="str"/>
      <x:c r="G67" s="23" t="str"/>
      <x:c r="H67" s="23" t="n">
        <x:v>0</x:v>
      </x:c>
      <x:c r="I67" s="23" t="n">
        <x:v>0</x:v>
      </x:c>
      <x:c r="J67" s="23" t="n">
        <x:v>0</x:v>
      </x:c>
      <x:c r="K67" s="23" t="n">
        <x:v>0</x:v>
      </x:c>
      <x:c r="L67" s="23" t="n">
        <x:v>0</x:v>
      </x:c>
      <x:c r="M67" s="23" t="n">
        <x:v>0</x:v>
      </x:c>
      <x:c r="N67" s="23" t="n">
        <x:v>0</x:v>
      </x:c>
      <x:c r="O67" s="23" t="n">
        <x:v>0</x:v>
      </x:c>
      <x:c r="P67" s="23" t="n">
        <x:v>0</x:v>
      </x:c>
      <x:c r="Q67" s="23" t="n">
        <x:v>0</x:v>
      </x:c>
      <x:c r="R67" s="23" t="n">
        <x:v>0</x:v>
      </x:c>
      <x:c r="S67" s="23" t="n">
        <x:v>0</x:v>
      </x:c>
      <x:c r="T67" s="23" t="n">
        <x:v>0</x:v>
      </x:c>
      <x:c r="U67" s="24" t="n">
        <x:f>SUM(K67:N67)</x:f>
        <x:v>0</x:v>
      </x:c>
      <x:c r="V67" s="25" t="n">
        <x:f>IFERROR(U67/J67,0)</x:f>
        <x:v>0</x:v>
      </x:c>
      <x:c r="W67" s="25" t="n">
        <x:f>IFERROR(L67/J67,0)</x:f>
        <x:v>0</x:v>
      </x:c>
      <x:c r="X67" s="25" t="n">
        <x:f>IFERROR(P67/O67,0)</x:f>
        <x:v>0</x:v>
      </x:c>
      <x:c r="Y67" s="25" t="n">
        <x:f>IFERROR(R67/Q67,0)</x:f>
        <x:v>0</x:v>
      </x:c>
      <x:c r="Z67" s="25" t="n">
        <x:f>IFERROR(V67*30%+W67*30%+X67*20%+Y67*20%,0)</x:f>
        <x:v>0</x:v>
      </x:c>
    </x:row>
    <x:row r="68" ht="44" customHeight="1">
      <x:c r="A68" s="23" t="str">
        <x:v>C-063</x:v>
      </x:c>
      <x:c r="B68" s="28"/>
      <x:c r="C68" s="23" t="str">
        <x:v>小红书</x:v>
      </x:c>
      <x:c r="D68" s="23" t="str"/>
      <x:c r="E68" s="23" t="str"/>
      <x:c r="F68" s="23" t="str"/>
      <x:c r="G68" s="23" t="str"/>
      <x:c r="H68" s="23" t="n">
        <x:v>0</x:v>
      </x:c>
      <x:c r="I68" s="23" t="n">
        <x:v>0</x:v>
      </x:c>
      <x:c r="J68" s="23" t="n">
        <x:v>0</x:v>
      </x:c>
      <x:c r="K68" s="23" t="n">
        <x:v>0</x:v>
      </x:c>
      <x:c r="L68" s="23" t="n">
        <x:v>0</x:v>
      </x:c>
      <x:c r="M68" s="23" t="n">
        <x:v>0</x:v>
      </x:c>
      <x:c r="N68" s="23" t="n">
        <x:v>0</x:v>
      </x:c>
      <x:c r="O68" s="23" t="n">
        <x:v>0</x:v>
      </x:c>
      <x:c r="P68" s="23" t="n">
        <x:v>0</x:v>
      </x:c>
      <x:c r="Q68" s="23" t="n">
        <x:v>0</x:v>
      </x:c>
      <x:c r="R68" s="23" t="n">
        <x:v>0</x:v>
      </x:c>
      <x:c r="S68" s="23" t="n">
        <x:v>0</x:v>
      </x:c>
      <x:c r="T68" s="23" t="n">
        <x:v>0</x:v>
      </x:c>
      <x:c r="U68" s="24" t="n">
        <x:f>SUM(K68:N68)</x:f>
        <x:v>0</x:v>
      </x:c>
      <x:c r="V68" s="25" t="n">
        <x:f>IFERROR(U68/J68,0)</x:f>
        <x:v>0</x:v>
      </x:c>
      <x:c r="W68" s="25" t="n">
        <x:f>IFERROR(L68/J68,0)</x:f>
        <x:v>0</x:v>
      </x:c>
      <x:c r="X68" s="25" t="n">
        <x:f>IFERROR(P68/O68,0)</x:f>
        <x:v>0</x:v>
      </x:c>
      <x:c r="Y68" s="25" t="n">
        <x:f>IFERROR(R68/Q68,0)</x:f>
        <x:v>0</x:v>
      </x:c>
      <x:c r="Z68" s="25" t="n">
        <x:f>IFERROR(V68*30%+W68*30%+X68*20%+Y68*20%,0)</x:f>
        <x:v>0</x:v>
      </x:c>
    </x:row>
    <x:row r="69" ht="44" customHeight="1">
      <x:c r="A69" s="23" t="str">
        <x:v>C-064</x:v>
      </x:c>
      <x:c r="B69" s="28"/>
      <x:c r="C69" s="23" t="str">
        <x:v>小红书</x:v>
      </x:c>
      <x:c r="D69" s="23" t="str"/>
      <x:c r="E69" s="23" t="str"/>
      <x:c r="F69" s="23" t="str"/>
      <x:c r="G69" s="23" t="str"/>
      <x:c r="H69" s="23" t="n">
        <x:v>0</x:v>
      </x:c>
      <x:c r="I69" s="23" t="n">
        <x:v>0</x:v>
      </x:c>
      <x:c r="J69" s="23" t="n">
        <x:v>0</x:v>
      </x:c>
      <x:c r="K69" s="23" t="n">
        <x:v>0</x:v>
      </x:c>
      <x:c r="L69" s="23" t="n">
        <x:v>0</x:v>
      </x:c>
      <x:c r="M69" s="23" t="n">
        <x:v>0</x:v>
      </x:c>
      <x:c r="N69" s="23" t="n">
        <x:v>0</x:v>
      </x:c>
      <x:c r="O69" s="23" t="n">
        <x:v>0</x:v>
      </x:c>
      <x:c r="P69" s="23" t="n">
        <x:v>0</x:v>
      </x:c>
      <x:c r="Q69" s="23" t="n">
        <x:v>0</x:v>
      </x:c>
      <x:c r="R69" s="23" t="n">
        <x:v>0</x:v>
      </x:c>
      <x:c r="S69" s="23" t="n">
        <x:v>0</x:v>
      </x:c>
      <x:c r="T69" s="23" t="n">
        <x:v>0</x:v>
      </x:c>
      <x:c r="U69" s="24" t="n">
        <x:f>SUM(K69:N69)</x:f>
        <x:v>0</x:v>
      </x:c>
      <x:c r="V69" s="25" t="n">
        <x:f>IFERROR(U69/J69,0)</x:f>
        <x:v>0</x:v>
      </x:c>
      <x:c r="W69" s="25" t="n">
        <x:f>IFERROR(L69/J69,0)</x:f>
        <x:v>0</x:v>
      </x:c>
      <x:c r="X69" s="25" t="n">
        <x:f>IFERROR(P69/O69,0)</x:f>
        <x:v>0</x:v>
      </x:c>
      <x:c r="Y69" s="25" t="n">
        <x:f>IFERROR(R69/Q69,0)</x:f>
        <x:v>0</x:v>
      </x:c>
      <x:c r="Z69" s="25" t="n">
        <x:f>IFERROR(V69*30%+W69*30%+X69*20%+Y69*20%,0)</x:f>
        <x:v>0</x:v>
      </x:c>
    </x:row>
    <x:row r="70" ht="44" customHeight="1">
      <x:c r="A70" s="23" t="str">
        <x:v>C-065</x:v>
      </x:c>
      <x:c r="B70" s="28"/>
      <x:c r="C70" s="23" t="str">
        <x:v>小红书</x:v>
      </x:c>
      <x:c r="D70" s="23" t="str"/>
      <x:c r="E70" s="23" t="str"/>
      <x:c r="F70" s="23" t="str"/>
      <x:c r="G70" s="23" t="str"/>
      <x:c r="H70" s="23" t="n">
        <x:v>0</x:v>
      </x:c>
      <x:c r="I70" s="23" t="n">
        <x:v>0</x:v>
      </x:c>
      <x:c r="J70" s="23" t="n">
        <x:v>0</x:v>
      </x:c>
      <x:c r="K70" s="23" t="n">
        <x:v>0</x:v>
      </x:c>
      <x:c r="L70" s="23" t="n">
        <x:v>0</x:v>
      </x:c>
      <x:c r="M70" s="23" t="n">
        <x:v>0</x:v>
      </x:c>
      <x:c r="N70" s="23" t="n">
        <x:v>0</x:v>
      </x:c>
      <x:c r="O70" s="23" t="n">
        <x:v>0</x:v>
      </x:c>
      <x:c r="P70" s="23" t="n">
        <x:v>0</x:v>
      </x:c>
      <x:c r="Q70" s="23" t="n">
        <x:v>0</x:v>
      </x:c>
      <x:c r="R70" s="23" t="n">
        <x:v>0</x:v>
      </x:c>
      <x:c r="S70" s="23" t="n">
        <x:v>0</x:v>
      </x:c>
      <x:c r="T70" s="23" t="n">
        <x:v>0</x:v>
      </x:c>
      <x:c r="U70" s="24" t="n">
        <x:f>SUM(K70:N70)</x:f>
        <x:v>0</x:v>
      </x:c>
      <x:c r="V70" s="25" t="n">
        <x:f>IFERROR(U70/J70,0)</x:f>
        <x:v>0</x:v>
      </x:c>
      <x:c r="W70" s="25" t="n">
        <x:f>IFERROR(L70/J70,0)</x:f>
        <x:v>0</x:v>
      </x:c>
      <x:c r="X70" s="25" t="n">
        <x:f>IFERROR(P70/O70,0)</x:f>
        <x:v>0</x:v>
      </x:c>
      <x:c r="Y70" s="25" t="n">
        <x:f>IFERROR(R70/Q70,0)</x:f>
        <x:v>0</x:v>
      </x:c>
      <x:c r="Z70" s="25" t="n">
        <x:f>IFERROR(V70*30%+W70*30%+X70*20%+Y70*20%,0)</x:f>
        <x:v>0</x:v>
      </x:c>
    </x:row>
    <x:row r="71" ht="44" customHeight="1">
      <x:c r="A71" s="23" t="str">
        <x:v>C-066</x:v>
      </x:c>
      <x:c r="B71" s="28"/>
      <x:c r="C71" s="23" t="str">
        <x:v>小红书</x:v>
      </x:c>
      <x:c r="D71" s="23" t="str"/>
      <x:c r="E71" s="23" t="str"/>
      <x:c r="F71" s="23" t="str"/>
      <x:c r="G71" s="23" t="str"/>
      <x:c r="H71" s="23" t="n">
        <x:v>0</x:v>
      </x:c>
      <x:c r="I71" s="23" t="n">
        <x:v>0</x:v>
      </x:c>
      <x:c r="J71" s="23" t="n">
        <x:v>0</x:v>
      </x:c>
      <x:c r="K71" s="23" t="n">
        <x:v>0</x:v>
      </x:c>
      <x:c r="L71" s="23" t="n">
        <x:v>0</x:v>
      </x:c>
      <x:c r="M71" s="23" t="n">
        <x:v>0</x:v>
      </x:c>
      <x:c r="N71" s="23" t="n">
        <x:v>0</x:v>
      </x:c>
      <x:c r="O71" s="23" t="n">
        <x:v>0</x:v>
      </x:c>
      <x:c r="P71" s="23" t="n">
        <x:v>0</x:v>
      </x:c>
      <x:c r="Q71" s="23" t="n">
        <x:v>0</x:v>
      </x:c>
      <x:c r="R71" s="23" t="n">
        <x:v>0</x:v>
      </x:c>
      <x:c r="S71" s="23" t="n">
        <x:v>0</x:v>
      </x:c>
      <x:c r="T71" s="23" t="n">
        <x:v>0</x:v>
      </x:c>
      <x:c r="U71" s="24" t="n">
        <x:f>SUM(K71:N71)</x:f>
        <x:v>0</x:v>
      </x:c>
      <x:c r="V71" s="25" t="n">
        <x:f>IFERROR(U71/J71,0)</x:f>
        <x:v>0</x:v>
      </x:c>
      <x:c r="W71" s="25" t="n">
        <x:f>IFERROR(L71/J71,0)</x:f>
        <x:v>0</x:v>
      </x:c>
      <x:c r="X71" s="25" t="n">
        <x:f>IFERROR(P71/O71,0)</x:f>
        <x:v>0</x:v>
      </x:c>
      <x:c r="Y71" s="25" t="n">
        <x:f>IFERROR(R71/Q71,0)</x:f>
        <x:v>0</x:v>
      </x:c>
      <x:c r="Z71" s="25" t="n">
        <x:f>IFERROR(V71*30%+W71*30%+X71*20%+Y71*20%,0)</x:f>
        <x:v>0</x:v>
      </x:c>
    </x:row>
    <x:row r="72" ht="44" customHeight="1">
      <x:c r="A72" s="23" t="str">
        <x:v>C-067</x:v>
      </x:c>
      <x:c r="B72" s="28"/>
      <x:c r="C72" s="23" t="str">
        <x:v>小红书</x:v>
      </x:c>
      <x:c r="D72" s="23" t="str"/>
      <x:c r="E72" s="23" t="str"/>
      <x:c r="F72" s="23" t="str"/>
      <x:c r="G72" s="23" t="str"/>
      <x:c r="H72" s="23" t="n">
        <x:v>0</x:v>
      </x:c>
      <x:c r="I72" s="23" t="n">
        <x:v>0</x:v>
      </x:c>
      <x:c r="J72" s="23" t="n">
        <x:v>0</x:v>
      </x:c>
      <x:c r="K72" s="23" t="n">
        <x:v>0</x:v>
      </x:c>
      <x:c r="L72" s="23" t="n">
        <x:v>0</x:v>
      </x:c>
      <x:c r="M72" s="23" t="n">
        <x:v>0</x:v>
      </x:c>
      <x:c r="N72" s="23" t="n">
        <x:v>0</x:v>
      </x:c>
      <x:c r="O72" s="23" t="n">
        <x:v>0</x:v>
      </x:c>
      <x:c r="P72" s="23" t="n">
        <x:v>0</x:v>
      </x:c>
      <x:c r="Q72" s="23" t="n">
        <x:v>0</x:v>
      </x:c>
      <x:c r="R72" s="23" t="n">
        <x:v>0</x:v>
      </x:c>
      <x:c r="S72" s="23" t="n">
        <x:v>0</x:v>
      </x:c>
      <x:c r="T72" s="23" t="n">
        <x:v>0</x:v>
      </x:c>
      <x:c r="U72" s="24" t="n">
        <x:f>SUM(K72:N72)</x:f>
        <x:v>0</x:v>
      </x:c>
      <x:c r="V72" s="25" t="n">
        <x:f>IFERROR(U72/J72,0)</x:f>
        <x:v>0</x:v>
      </x:c>
      <x:c r="W72" s="25" t="n">
        <x:f>IFERROR(L72/J72,0)</x:f>
        <x:v>0</x:v>
      </x:c>
      <x:c r="X72" s="25" t="n">
        <x:f>IFERROR(P72/O72,0)</x:f>
        <x:v>0</x:v>
      </x:c>
      <x:c r="Y72" s="25" t="n">
        <x:f>IFERROR(R72/Q72,0)</x:f>
        <x:v>0</x:v>
      </x:c>
      <x:c r="Z72" s="25" t="n">
        <x:f>IFERROR(V72*30%+W72*30%+X72*20%+Y72*20%,0)</x:f>
        <x:v>0</x:v>
      </x:c>
    </x:row>
    <x:row r="73" ht="44" customHeight="1">
      <x:c r="A73" s="23" t="str">
        <x:v>C-068</x:v>
      </x:c>
      <x:c r="B73" s="28"/>
      <x:c r="C73" s="23" t="str">
        <x:v>小红书</x:v>
      </x:c>
      <x:c r="D73" s="23" t="str"/>
      <x:c r="E73" s="23" t="str"/>
      <x:c r="F73" s="23" t="str"/>
      <x:c r="G73" s="23" t="str"/>
      <x:c r="H73" s="23" t="n">
        <x:v>0</x:v>
      </x:c>
      <x:c r="I73" s="23" t="n">
        <x:v>0</x:v>
      </x:c>
      <x:c r="J73" s="23" t="n">
        <x:v>0</x:v>
      </x:c>
      <x:c r="K73" s="23" t="n">
        <x:v>0</x:v>
      </x:c>
      <x:c r="L73" s="23" t="n">
        <x:v>0</x:v>
      </x:c>
      <x:c r="M73" s="23" t="n">
        <x:v>0</x:v>
      </x:c>
      <x:c r="N73" s="23" t="n">
        <x:v>0</x:v>
      </x:c>
      <x:c r="O73" s="23" t="n">
        <x:v>0</x:v>
      </x:c>
      <x:c r="P73" s="23" t="n">
        <x:v>0</x:v>
      </x:c>
      <x:c r="Q73" s="23" t="n">
        <x:v>0</x:v>
      </x:c>
      <x:c r="R73" s="23" t="n">
        <x:v>0</x:v>
      </x:c>
      <x:c r="S73" s="23" t="n">
        <x:v>0</x:v>
      </x:c>
      <x:c r="T73" s="23" t="n">
        <x:v>0</x:v>
      </x:c>
      <x:c r="U73" s="24" t="n">
        <x:f>SUM(K73:N73)</x:f>
        <x:v>0</x:v>
      </x:c>
      <x:c r="V73" s="25" t="n">
        <x:f>IFERROR(U73/J73,0)</x:f>
        <x:v>0</x:v>
      </x:c>
      <x:c r="W73" s="25" t="n">
        <x:f>IFERROR(L73/J73,0)</x:f>
        <x:v>0</x:v>
      </x:c>
      <x:c r="X73" s="25" t="n">
        <x:f>IFERROR(P73/O73,0)</x:f>
        <x:v>0</x:v>
      </x:c>
      <x:c r="Y73" s="25" t="n">
        <x:f>IFERROR(R73/Q73,0)</x:f>
        <x:v>0</x:v>
      </x:c>
      <x:c r="Z73" s="25" t="n">
        <x:f>IFERROR(V73*30%+W73*30%+X73*20%+Y73*20%,0)</x:f>
        <x:v>0</x:v>
      </x:c>
    </x:row>
    <x:row r="74" ht="44" customHeight="1">
      <x:c r="A74" s="23" t="str">
        <x:v>C-069</x:v>
      </x:c>
      <x:c r="B74" s="28"/>
      <x:c r="C74" s="23" t="str">
        <x:v>小红书</x:v>
      </x:c>
      <x:c r="D74" s="23" t="str"/>
      <x:c r="E74" s="23" t="str"/>
      <x:c r="F74" s="23" t="str"/>
      <x:c r="G74" s="23" t="str"/>
      <x:c r="H74" s="23" t="n">
        <x:v>0</x:v>
      </x:c>
      <x:c r="I74" s="23" t="n">
        <x:v>0</x:v>
      </x:c>
      <x:c r="J74" s="23" t="n">
        <x:v>0</x:v>
      </x:c>
      <x:c r="K74" s="23" t="n">
        <x:v>0</x:v>
      </x:c>
      <x:c r="L74" s="23" t="n">
        <x:v>0</x:v>
      </x:c>
      <x:c r="M74" s="23" t="n">
        <x:v>0</x:v>
      </x:c>
      <x:c r="N74" s="23" t="n">
        <x:v>0</x:v>
      </x:c>
      <x:c r="O74" s="23" t="n">
        <x:v>0</x:v>
      </x:c>
      <x:c r="P74" s="23" t="n">
        <x:v>0</x:v>
      </x:c>
      <x:c r="Q74" s="23" t="n">
        <x:v>0</x:v>
      </x:c>
      <x:c r="R74" s="23" t="n">
        <x:v>0</x:v>
      </x:c>
      <x:c r="S74" s="23" t="n">
        <x:v>0</x:v>
      </x:c>
      <x:c r="T74" s="23" t="n">
        <x:v>0</x:v>
      </x:c>
      <x:c r="U74" s="24" t="n">
        <x:f>SUM(K74:N74)</x:f>
        <x:v>0</x:v>
      </x:c>
      <x:c r="V74" s="25" t="n">
        <x:f>IFERROR(U74/J74,0)</x:f>
        <x:v>0</x:v>
      </x:c>
      <x:c r="W74" s="25" t="n">
        <x:f>IFERROR(L74/J74,0)</x:f>
        <x:v>0</x:v>
      </x:c>
      <x:c r="X74" s="25" t="n">
        <x:f>IFERROR(P74/O74,0)</x:f>
        <x:v>0</x:v>
      </x:c>
      <x:c r="Y74" s="25" t="n">
        <x:f>IFERROR(R74/Q74,0)</x:f>
        <x:v>0</x:v>
      </x:c>
      <x:c r="Z74" s="25" t="n">
        <x:f>IFERROR(V74*30%+W74*30%+X74*20%+Y74*20%,0)</x:f>
        <x:v>0</x:v>
      </x:c>
    </x:row>
    <x:row r="75" ht="44" customHeight="1">
      <x:c r="A75" s="23" t="str">
        <x:v>C-070</x:v>
      </x:c>
      <x:c r="B75" s="28"/>
      <x:c r="C75" s="23" t="str">
        <x:v>小红书</x:v>
      </x:c>
      <x:c r="D75" s="23" t="str"/>
      <x:c r="E75" s="23" t="str"/>
      <x:c r="F75" s="23" t="str"/>
      <x:c r="G75" s="23" t="str"/>
      <x:c r="H75" s="23" t="n">
        <x:v>0</x:v>
      </x:c>
      <x:c r="I75" s="23" t="n">
        <x:v>0</x:v>
      </x:c>
      <x:c r="J75" s="23" t="n">
        <x:v>0</x:v>
      </x:c>
      <x:c r="K75" s="23" t="n">
        <x:v>0</x:v>
      </x:c>
      <x:c r="L75" s="23" t="n">
        <x:v>0</x:v>
      </x:c>
      <x:c r="M75" s="23" t="n">
        <x:v>0</x:v>
      </x:c>
      <x:c r="N75" s="23" t="n">
        <x:v>0</x:v>
      </x:c>
      <x:c r="O75" s="23" t="n">
        <x:v>0</x:v>
      </x:c>
      <x:c r="P75" s="23" t="n">
        <x:v>0</x:v>
      </x:c>
      <x:c r="Q75" s="23" t="n">
        <x:v>0</x:v>
      </x:c>
      <x:c r="R75" s="23" t="n">
        <x:v>0</x:v>
      </x:c>
      <x:c r="S75" s="23" t="n">
        <x:v>0</x:v>
      </x:c>
      <x:c r="T75" s="23" t="n">
        <x:v>0</x:v>
      </x:c>
      <x:c r="U75" s="24" t="n">
        <x:f>SUM(K75:N75)</x:f>
        <x:v>0</x:v>
      </x:c>
      <x:c r="V75" s="25" t="n">
        <x:f>IFERROR(U75/J75,0)</x:f>
        <x:v>0</x:v>
      </x:c>
      <x:c r="W75" s="25" t="n">
        <x:f>IFERROR(L75/J75,0)</x:f>
        <x:v>0</x:v>
      </x:c>
      <x:c r="X75" s="25" t="n">
        <x:f>IFERROR(P75/O75,0)</x:f>
        <x:v>0</x:v>
      </x:c>
      <x:c r="Y75" s="25" t="n">
        <x:f>IFERROR(R75/Q75,0)</x:f>
        <x:v>0</x:v>
      </x:c>
      <x:c r="Z75" s="25" t="n">
        <x:f>IFERROR(V75*30%+W75*30%+X75*20%+Y75*20%,0)</x:f>
        <x:v>0</x:v>
      </x:c>
    </x:row>
    <x:row r="76" ht="44" customHeight="1">
      <x:c r="A76" s="23" t="str">
        <x:v>C-071</x:v>
      </x:c>
      <x:c r="B76" s="28"/>
      <x:c r="C76" s="23" t="str">
        <x:v>小红书</x:v>
      </x:c>
      <x:c r="D76" s="23" t="str"/>
      <x:c r="E76" s="23" t="str"/>
      <x:c r="F76" s="23" t="str"/>
      <x:c r="G76" s="23" t="str"/>
      <x:c r="H76" s="23" t="n">
        <x:v>0</x:v>
      </x:c>
      <x:c r="I76" s="23" t="n">
        <x:v>0</x:v>
      </x:c>
      <x:c r="J76" s="23" t="n">
        <x:v>0</x:v>
      </x:c>
      <x:c r="K76" s="23" t="n">
        <x:v>0</x:v>
      </x:c>
      <x:c r="L76" s="23" t="n">
        <x:v>0</x:v>
      </x:c>
      <x:c r="M76" s="23" t="n">
        <x:v>0</x:v>
      </x:c>
      <x:c r="N76" s="23" t="n">
        <x:v>0</x:v>
      </x:c>
      <x:c r="O76" s="23" t="n">
        <x:v>0</x:v>
      </x:c>
      <x:c r="P76" s="23" t="n">
        <x:v>0</x:v>
      </x:c>
      <x:c r="Q76" s="23" t="n">
        <x:v>0</x:v>
      </x:c>
      <x:c r="R76" s="23" t="n">
        <x:v>0</x:v>
      </x:c>
      <x:c r="S76" s="23" t="n">
        <x:v>0</x:v>
      </x:c>
      <x:c r="T76" s="23" t="n">
        <x:v>0</x:v>
      </x:c>
      <x:c r="U76" s="24" t="n">
        <x:f>SUM(K76:N76)</x:f>
        <x:v>0</x:v>
      </x:c>
      <x:c r="V76" s="25" t="n">
        <x:f>IFERROR(U76/J76,0)</x:f>
        <x:v>0</x:v>
      </x:c>
      <x:c r="W76" s="25" t="n">
        <x:f>IFERROR(L76/J76,0)</x:f>
        <x:v>0</x:v>
      </x:c>
      <x:c r="X76" s="25" t="n">
        <x:f>IFERROR(P76/O76,0)</x:f>
        <x:v>0</x:v>
      </x:c>
      <x:c r="Y76" s="25" t="n">
        <x:f>IFERROR(R76/Q76,0)</x:f>
        <x:v>0</x:v>
      </x:c>
      <x:c r="Z76" s="25" t="n">
        <x:f>IFERROR(V76*30%+W76*30%+X76*20%+Y76*20%,0)</x:f>
        <x:v>0</x:v>
      </x:c>
    </x:row>
    <x:row r="77" ht="44" customHeight="1">
      <x:c r="A77" s="23" t="str">
        <x:v>C-072</x:v>
      </x:c>
      <x:c r="B77" s="28"/>
      <x:c r="C77" s="23" t="str">
        <x:v>小红书</x:v>
      </x:c>
      <x:c r="D77" s="23" t="str"/>
      <x:c r="E77" s="23" t="str"/>
      <x:c r="F77" s="23" t="str"/>
      <x:c r="G77" s="23" t="str"/>
      <x:c r="H77" s="23" t="n">
        <x:v>0</x:v>
      </x:c>
      <x:c r="I77" s="23" t="n">
        <x:v>0</x:v>
      </x:c>
      <x:c r="J77" s="23" t="n">
        <x:v>0</x:v>
      </x:c>
      <x:c r="K77" s="23" t="n">
        <x:v>0</x:v>
      </x:c>
      <x:c r="L77" s="23" t="n">
        <x:v>0</x:v>
      </x:c>
      <x:c r="M77" s="23" t="n">
        <x:v>0</x:v>
      </x:c>
      <x:c r="N77" s="23" t="n">
        <x:v>0</x:v>
      </x:c>
      <x:c r="O77" s="23" t="n">
        <x:v>0</x:v>
      </x:c>
      <x:c r="P77" s="23" t="n">
        <x:v>0</x:v>
      </x:c>
      <x:c r="Q77" s="23" t="n">
        <x:v>0</x:v>
      </x:c>
      <x:c r="R77" s="23" t="n">
        <x:v>0</x:v>
      </x:c>
      <x:c r="S77" s="23" t="n">
        <x:v>0</x:v>
      </x:c>
      <x:c r="T77" s="23" t="n">
        <x:v>0</x:v>
      </x:c>
      <x:c r="U77" s="24" t="n">
        <x:f>SUM(K77:N77)</x:f>
        <x:v>0</x:v>
      </x:c>
      <x:c r="V77" s="25" t="n">
        <x:f>IFERROR(U77/J77,0)</x:f>
        <x:v>0</x:v>
      </x:c>
      <x:c r="W77" s="25" t="n">
        <x:f>IFERROR(L77/J77,0)</x:f>
        <x:v>0</x:v>
      </x:c>
      <x:c r="X77" s="25" t="n">
        <x:f>IFERROR(P77/O77,0)</x:f>
        <x:v>0</x:v>
      </x:c>
      <x:c r="Y77" s="25" t="n">
        <x:f>IFERROR(R77/Q77,0)</x:f>
        <x:v>0</x:v>
      </x:c>
      <x:c r="Z77" s="25" t="n">
        <x:f>IFERROR(V77*30%+W77*30%+X77*20%+Y77*20%,0)</x:f>
        <x:v>0</x:v>
      </x:c>
    </x:row>
    <x:row r="78" ht="44" customHeight="1">
      <x:c r="A78" s="23" t="str">
        <x:v>C-073</x:v>
      </x:c>
      <x:c r="B78" s="28"/>
      <x:c r="C78" s="23" t="str">
        <x:v>小红书</x:v>
      </x:c>
      <x:c r="D78" s="23" t="str"/>
      <x:c r="E78" s="23" t="str"/>
      <x:c r="F78" s="23" t="str"/>
      <x:c r="G78" s="23" t="str"/>
      <x:c r="H78" s="23" t="n">
        <x:v>0</x:v>
      </x:c>
      <x:c r="I78" s="23" t="n">
        <x:v>0</x:v>
      </x:c>
      <x:c r="J78" s="23" t="n">
        <x:v>0</x:v>
      </x:c>
      <x:c r="K78" s="23" t="n">
        <x:v>0</x:v>
      </x:c>
      <x:c r="L78" s="23" t="n">
        <x:v>0</x:v>
      </x:c>
      <x:c r="M78" s="23" t="n">
        <x:v>0</x:v>
      </x:c>
      <x:c r="N78" s="23" t="n">
        <x:v>0</x:v>
      </x:c>
      <x:c r="O78" s="23" t="n">
        <x:v>0</x:v>
      </x:c>
      <x:c r="P78" s="23" t="n">
        <x:v>0</x:v>
      </x:c>
      <x:c r="Q78" s="23" t="n">
        <x:v>0</x:v>
      </x:c>
      <x:c r="R78" s="23" t="n">
        <x:v>0</x:v>
      </x:c>
      <x:c r="S78" s="23" t="n">
        <x:v>0</x:v>
      </x:c>
      <x:c r="T78" s="23" t="n">
        <x:v>0</x:v>
      </x:c>
      <x:c r="U78" s="24" t="n">
        <x:f>SUM(K78:N78)</x:f>
        <x:v>0</x:v>
      </x:c>
      <x:c r="V78" s="25" t="n">
        <x:f>IFERROR(U78/J78,0)</x:f>
        <x:v>0</x:v>
      </x:c>
      <x:c r="W78" s="25" t="n">
        <x:f>IFERROR(L78/J78,0)</x:f>
        <x:v>0</x:v>
      </x:c>
      <x:c r="X78" s="25" t="n">
        <x:f>IFERROR(P78/O78,0)</x:f>
        <x:v>0</x:v>
      </x:c>
      <x:c r="Y78" s="25" t="n">
        <x:f>IFERROR(R78/Q78,0)</x:f>
        <x:v>0</x:v>
      </x:c>
      <x:c r="Z78" s="25" t="n">
        <x:f>IFERROR(V78*30%+W78*30%+X78*20%+Y78*20%,0)</x:f>
        <x:v>0</x:v>
      </x:c>
    </x:row>
    <x:row r="79" ht="44" customHeight="1">
      <x:c r="A79" s="23" t="str">
        <x:v>C-074</x:v>
      </x:c>
      <x:c r="B79" s="28"/>
      <x:c r="C79" s="23" t="str">
        <x:v>小红书</x:v>
      </x:c>
      <x:c r="D79" s="23" t="str"/>
      <x:c r="E79" s="23" t="str"/>
      <x:c r="F79" s="23" t="str"/>
      <x:c r="G79" s="23" t="str"/>
      <x:c r="H79" s="23" t="n">
        <x:v>0</x:v>
      </x:c>
      <x:c r="I79" s="23" t="n">
        <x:v>0</x:v>
      </x:c>
      <x:c r="J79" s="23" t="n">
        <x:v>0</x:v>
      </x:c>
      <x:c r="K79" s="23" t="n">
        <x:v>0</x:v>
      </x:c>
      <x:c r="L79" s="23" t="n">
        <x:v>0</x:v>
      </x:c>
      <x:c r="M79" s="23" t="n">
        <x:v>0</x:v>
      </x:c>
      <x:c r="N79" s="23" t="n">
        <x:v>0</x:v>
      </x:c>
      <x:c r="O79" s="23" t="n">
        <x:v>0</x:v>
      </x:c>
      <x:c r="P79" s="23" t="n">
        <x:v>0</x:v>
      </x:c>
      <x:c r="Q79" s="23" t="n">
        <x:v>0</x:v>
      </x:c>
      <x:c r="R79" s="23" t="n">
        <x:v>0</x:v>
      </x:c>
      <x:c r="S79" s="23" t="n">
        <x:v>0</x:v>
      </x:c>
      <x:c r="T79" s="23" t="n">
        <x:v>0</x:v>
      </x:c>
      <x:c r="U79" s="24" t="n">
        <x:f>SUM(K79:N79)</x:f>
        <x:v>0</x:v>
      </x:c>
      <x:c r="V79" s="25" t="n">
        <x:f>IFERROR(U79/J79,0)</x:f>
        <x:v>0</x:v>
      </x:c>
      <x:c r="W79" s="25" t="n">
        <x:f>IFERROR(L79/J79,0)</x:f>
        <x:v>0</x:v>
      </x:c>
      <x:c r="X79" s="25" t="n">
        <x:f>IFERROR(P79/O79,0)</x:f>
        <x:v>0</x:v>
      </x:c>
      <x:c r="Y79" s="25" t="n">
        <x:f>IFERROR(R79/Q79,0)</x:f>
        <x:v>0</x:v>
      </x:c>
      <x:c r="Z79" s="25" t="n">
        <x:f>IFERROR(V79*30%+W79*30%+X79*20%+Y79*20%,0)</x:f>
        <x:v>0</x:v>
      </x:c>
    </x:row>
    <x:row r="80" ht="44" customHeight="1">
      <x:c r="A80" s="23" t="str">
        <x:v>C-075</x:v>
      </x:c>
      <x:c r="B80" s="28"/>
      <x:c r="C80" s="23" t="str">
        <x:v>小红书</x:v>
      </x:c>
      <x:c r="D80" s="23" t="str"/>
      <x:c r="E80" s="23" t="str"/>
      <x:c r="F80" s="23" t="str"/>
      <x:c r="G80" s="23" t="str"/>
      <x:c r="H80" s="23" t="n">
        <x:v>0</x:v>
      </x:c>
      <x:c r="I80" s="23" t="n">
        <x:v>0</x:v>
      </x:c>
      <x:c r="J80" s="23" t="n">
        <x:v>0</x:v>
      </x:c>
      <x:c r="K80" s="23" t="n">
        <x:v>0</x:v>
      </x:c>
      <x:c r="L80" s="23" t="n">
        <x:v>0</x:v>
      </x:c>
      <x:c r="M80" s="23" t="n">
        <x:v>0</x:v>
      </x:c>
      <x:c r="N80" s="23" t="n">
        <x:v>0</x:v>
      </x:c>
      <x:c r="O80" s="23" t="n">
        <x:v>0</x:v>
      </x:c>
      <x:c r="P80" s="23" t="n">
        <x:v>0</x:v>
      </x:c>
      <x:c r="Q80" s="23" t="n">
        <x:v>0</x:v>
      </x:c>
      <x:c r="R80" s="23" t="n">
        <x:v>0</x:v>
      </x:c>
      <x:c r="S80" s="23" t="n">
        <x:v>0</x:v>
      </x:c>
      <x:c r="T80" s="23" t="n">
        <x:v>0</x:v>
      </x:c>
      <x:c r="U80" s="24" t="n">
        <x:f>SUM(K80:N80)</x:f>
        <x:v>0</x:v>
      </x:c>
      <x:c r="V80" s="25" t="n">
        <x:f>IFERROR(U80/J80,0)</x:f>
        <x:v>0</x:v>
      </x:c>
      <x:c r="W80" s="25" t="n">
        <x:f>IFERROR(L80/J80,0)</x:f>
        <x:v>0</x:v>
      </x:c>
      <x:c r="X80" s="25" t="n">
        <x:f>IFERROR(P80/O80,0)</x:f>
        <x:v>0</x:v>
      </x:c>
      <x:c r="Y80" s="25" t="n">
        <x:f>IFERROR(R80/Q80,0)</x:f>
        <x:v>0</x:v>
      </x:c>
      <x:c r="Z80" s="25" t="n">
        <x:f>IFERROR(V80*30%+W80*30%+X80*20%+Y80*20%,0)</x:f>
        <x:v>0</x:v>
      </x:c>
    </x:row>
    <x:row r="81" ht="44" customHeight="1">
      <x:c r="A81" s="23" t="str">
        <x:v>C-076</x:v>
      </x:c>
      <x:c r="B81" s="28"/>
      <x:c r="C81" s="23" t="str">
        <x:v>小红书</x:v>
      </x:c>
      <x:c r="D81" s="23" t="str"/>
      <x:c r="E81" s="23" t="str"/>
      <x:c r="F81" s="23" t="str"/>
      <x:c r="G81" s="23" t="str"/>
      <x:c r="H81" s="23" t="n">
        <x:v>0</x:v>
      </x:c>
      <x:c r="I81" s="23" t="n">
        <x:v>0</x:v>
      </x:c>
      <x:c r="J81" s="23" t="n">
        <x:v>0</x:v>
      </x:c>
      <x:c r="K81" s="23" t="n">
        <x:v>0</x:v>
      </x:c>
      <x:c r="L81" s="23" t="n">
        <x:v>0</x:v>
      </x:c>
      <x:c r="M81" s="23" t="n">
        <x:v>0</x:v>
      </x:c>
      <x:c r="N81" s="23" t="n">
        <x:v>0</x:v>
      </x:c>
      <x:c r="O81" s="23" t="n">
        <x:v>0</x:v>
      </x:c>
      <x:c r="P81" s="23" t="n">
        <x:v>0</x:v>
      </x:c>
      <x:c r="Q81" s="23" t="n">
        <x:v>0</x:v>
      </x:c>
      <x:c r="R81" s="23" t="n">
        <x:v>0</x:v>
      </x:c>
      <x:c r="S81" s="23" t="n">
        <x:v>0</x:v>
      </x:c>
      <x:c r="T81" s="23" t="n">
        <x:v>0</x:v>
      </x:c>
      <x:c r="U81" s="24" t="n">
        <x:f>SUM(K81:N81)</x:f>
        <x:v>0</x:v>
      </x:c>
      <x:c r="V81" s="25" t="n">
        <x:f>IFERROR(U81/J81,0)</x:f>
        <x:v>0</x:v>
      </x:c>
      <x:c r="W81" s="25" t="n">
        <x:f>IFERROR(L81/J81,0)</x:f>
        <x:v>0</x:v>
      </x:c>
      <x:c r="X81" s="25" t="n">
        <x:f>IFERROR(P81/O81,0)</x:f>
        <x:v>0</x:v>
      </x:c>
      <x:c r="Y81" s="25" t="n">
        <x:f>IFERROR(R81/Q81,0)</x:f>
        <x:v>0</x:v>
      </x:c>
      <x:c r="Z81" s="25" t="n">
        <x:f>IFERROR(V81*30%+W81*30%+X81*20%+Y81*20%,0)</x:f>
        <x:v>0</x:v>
      </x:c>
    </x:row>
    <x:row r="82" ht="44" customHeight="1">
      <x:c r="A82" s="23" t="str">
        <x:v>C-077</x:v>
      </x:c>
      <x:c r="B82" s="28"/>
      <x:c r="C82" s="23" t="str">
        <x:v>小红书</x:v>
      </x:c>
      <x:c r="D82" s="23" t="str"/>
      <x:c r="E82" s="23" t="str"/>
      <x:c r="F82" s="23" t="str"/>
      <x:c r="G82" s="23" t="str"/>
      <x:c r="H82" s="23" t="n">
        <x:v>0</x:v>
      </x:c>
      <x:c r="I82" s="23" t="n">
        <x:v>0</x:v>
      </x:c>
      <x:c r="J82" s="23" t="n">
        <x:v>0</x:v>
      </x:c>
      <x:c r="K82" s="23" t="n">
        <x:v>0</x:v>
      </x:c>
      <x:c r="L82" s="23" t="n">
        <x:v>0</x:v>
      </x:c>
      <x:c r="M82" s="23" t="n">
        <x:v>0</x:v>
      </x:c>
      <x:c r="N82" s="23" t="n">
        <x:v>0</x:v>
      </x:c>
      <x:c r="O82" s="23" t="n">
        <x:v>0</x:v>
      </x:c>
      <x:c r="P82" s="23" t="n">
        <x:v>0</x:v>
      </x:c>
      <x:c r="Q82" s="23" t="n">
        <x:v>0</x:v>
      </x:c>
      <x:c r="R82" s="23" t="n">
        <x:v>0</x:v>
      </x:c>
      <x:c r="S82" s="23" t="n">
        <x:v>0</x:v>
      </x:c>
      <x:c r="T82" s="23" t="n">
        <x:v>0</x:v>
      </x:c>
      <x:c r="U82" s="24" t="n">
        <x:f>SUM(K82:N82)</x:f>
        <x:v>0</x:v>
      </x:c>
      <x:c r="V82" s="25" t="n">
        <x:f>IFERROR(U82/J82,0)</x:f>
        <x:v>0</x:v>
      </x:c>
      <x:c r="W82" s="25" t="n">
        <x:f>IFERROR(L82/J82,0)</x:f>
        <x:v>0</x:v>
      </x:c>
      <x:c r="X82" s="25" t="n">
        <x:f>IFERROR(P82/O82,0)</x:f>
        <x:v>0</x:v>
      </x:c>
      <x:c r="Y82" s="25" t="n">
        <x:f>IFERROR(R82/Q82,0)</x:f>
        <x:v>0</x:v>
      </x:c>
      <x:c r="Z82" s="25" t="n">
        <x:f>IFERROR(V82*30%+W82*30%+X82*20%+Y82*20%,0)</x:f>
        <x:v>0</x:v>
      </x:c>
    </x:row>
    <x:row r="83" ht="44" customHeight="1">
      <x:c r="A83" s="23" t="str">
        <x:v>C-078</x:v>
      </x:c>
      <x:c r="B83" s="28"/>
      <x:c r="C83" s="23" t="str">
        <x:v>小红书</x:v>
      </x:c>
      <x:c r="D83" s="23" t="str"/>
      <x:c r="E83" s="23" t="str"/>
      <x:c r="F83" s="23" t="str"/>
      <x:c r="G83" s="23" t="str"/>
      <x:c r="H83" s="23" t="n">
        <x:v>0</x:v>
      </x:c>
      <x:c r="I83" s="23" t="n">
        <x:v>0</x:v>
      </x:c>
      <x:c r="J83" s="23" t="n">
        <x:v>0</x:v>
      </x:c>
      <x:c r="K83" s="23" t="n">
        <x:v>0</x:v>
      </x:c>
      <x:c r="L83" s="23" t="n">
        <x:v>0</x:v>
      </x:c>
      <x:c r="M83" s="23" t="n">
        <x:v>0</x:v>
      </x:c>
      <x:c r="N83" s="23" t="n">
        <x:v>0</x:v>
      </x:c>
      <x:c r="O83" s="23" t="n">
        <x:v>0</x:v>
      </x:c>
      <x:c r="P83" s="23" t="n">
        <x:v>0</x:v>
      </x:c>
      <x:c r="Q83" s="23" t="n">
        <x:v>0</x:v>
      </x:c>
      <x:c r="R83" s="23" t="n">
        <x:v>0</x:v>
      </x:c>
      <x:c r="S83" s="23" t="n">
        <x:v>0</x:v>
      </x:c>
      <x:c r="T83" s="23" t="n">
        <x:v>0</x:v>
      </x:c>
      <x:c r="U83" s="24" t="n">
        <x:f>SUM(K83:N83)</x:f>
        <x:v>0</x:v>
      </x:c>
      <x:c r="V83" s="25" t="n">
        <x:f>IFERROR(U83/J83,0)</x:f>
        <x:v>0</x:v>
      </x:c>
      <x:c r="W83" s="25" t="n">
        <x:f>IFERROR(L83/J83,0)</x:f>
        <x:v>0</x:v>
      </x:c>
      <x:c r="X83" s="25" t="n">
        <x:f>IFERROR(P83/O83,0)</x:f>
        <x:v>0</x:v>
      </x:c>
      <x:c r="Y83" s="25" t="n">
        <x:f>IFERROR(R83/Q83,0)</x:f>
        <x:v>0</x:v>
      </x:c>
      <x:c r="Z83" s="25" t="n">
        <x:f>IFERROR(V83*30%+W83*30%+X83*20%+Y83*20%,0)</x:f>
        <x:v>0</x:v>
      </x:c>
    </x:row>
    <x:row r="84" ht="44" customHeight="1">
      <x:c r="A84" s="23" t="str">
        <x:v>C-079</x:v>
      </x:c>
      <x:c r="B84" s="28"/>
      <x:c r="C84" s="23" t="str">
        <x:v>小红书</x:v>
      </x:c>
      <x:c r="D84" s="23" t="str"/>
      <x:c r="E84" s="23" t="str"/>
      <x:c r="F84" s="23" t="str"/>
      <x:c r="G84" s="23" t="str"/>
      <x:c r="H84" s="23" t="n">
        <x:v>0</x:v>
      </x:c>
      <x:c r="I84" s="23" t="n">
        <x:v>0</x:v>
      </x:c>
      <x:c r="J84" s="23" t="n">
        <x:v>0</x:v>
      </x:c>
      <x:c r="K84" s="23" t="n">
        <x:v>0</x:v>
      </x:c>
      <x:c r="L84" s="23" t="n">
        <x:v>0</x:v>
      </x:c>
      <x:c r="M84" s="23" t="n">
        <x:v>0</x:v>
      </x:c>
      <x:c r="N84" s="23" t="n">
        <x:v>0</x:v>
      </x:c>
      <x:c r="O84" s="23" t="n">
        <x:v>0</x:v>
      </x:c>
      <x:c r="P84" s="23" t="n">
        <x:v>0</x:v>
      </x:c>
      <x:c r="Q84" s="23" t="n">
        <x:v>0</x:v>
      </x:c>
      <x:c r="R84" s="23" t="n">
        <x:v>0</x:v>
      </x:c>
      <x:c r="S84" s="23" t="n">
        <x:v>0</x:v>
      </x:c>
      <x:c r="T84" s="23" t="n">
        <x:v>0</x:v>
      </x:c>
      <x:c r="U84" s="24" t="n">
        <x:f>SUM(K84:N84)</x:f>
        <x:v>0</x:v>
      </x:c>
      <x:c r="V84" s="25" t="n">
        <x:f>IFERROR(U84/J84,0)</x:f>
        <x:v>0</x:v>
      </x:c>
      <x:c r="W84" s="25" t="n">
        <x:f>IFERROR(L84/J84,0)</x:f>
        <x:v>0</x:v>
      </x:c>
      <x:c r="X84" s="25" t="n">
        <x:f>IFERROR(P84/O84,0)</x:f>
        <x:v>0</x:v>
      </x:c>
      <x:c r="Y84" s="25" t="n">
        <x:f>IFERROR(R84/Q84,0)</x:f>
        <x:v>0</x:v>
      </x:c>
      <x:c r="Z84" s="25" t="n">
        <x:f>IFERROR(V84*30%+W84*30%+X84*20%+Y84*20%,0)</x:f>
        <x:v>0</x:v>
      </x:c>
    </x:row>
    <x:row r="85" ht="44" customHeight="1">
      <x:c r="A85" s="23" t="str">
        <x:v>C-080</x:v>
      </x:c>
      <x:c r="B85" s="28"/>
      <x:c r="C85" s="23" t="str">
        <x:v>小红书</x:v>
      </x:c>
      <x:c r="D85" s="23" t="str"/>
      <x:c r="E85" s="23" t="str"/>
      <x:c r="F85" s="23" t="str"/>
      <x:c r="G85" s="23" t="str"/>
      <x:c r="H85" s="23" t="n">
        <x:v>0</x:v>
      </x:c>
      <x:c r="I85" s="23" t="n">
        <x:v>0</x:v>
      </x:c>
      <x:c r="J85" s="23" t="n">
        <x:v>0</x:v>
      </x:c>
      <x:c r="K85" s="23" t="n">
        <x:v>0</x:v>
      </x:c>
      <x:c r="L85" s="23" t="n">
        <x:v>0</x:v>
      </x:c>
      <x:c r="M85" s="23" t="n">
        <x:v>0</x:v>
      </x:c>
      <x:c r="N85" s="23" t="n">
        <x:v>0</x:v>
      </x:c>
      <x:c r="O85" s="23" t="n">
        <x:v>0</x:v>
      </x:c>
      <x:c r="P85" s="23" t="n">
        <x:v>0</x:v>
      </x:c>
      <x:c r="Q85" s="23" t="n">
        <x:v>0</x:v>
      </x:c>
      <x:c r="R85" s="23" t="n">
        <x:v>0</x:v>
      </x:c>
      <x:c r="S85" s="23" t="n">
        <x:v>0</x:v>
      </x:c>
      <x:c r="T85" s="23" t="n">
        <x:v>0</x:v>
      </x:c>
      <x:c r="U85" s="24" t="n">
        <x:f>SUM(K85:N85)</x:f>
        <x:v>0</x:v>
      </x:c>
      <x:c r="V85" s="25" t="n">
        <x:f>IFERROR(U85/J85,0)</x:f>
        <x:v>0</x:v>
      </x:c>
      <x:c r="W85" s="25" t="n">
        <x:f>IFERROR(L85/J85,0)</x:f>
        <x:v>0</x:v>
      </x:c>
      <x:c r="X85" s="25" t="n">
        <x:f>IFERROR(P85/O85,0)</x:f>
        <x:v>0</x:v>
      </x:c>
      <x:c r="Y85" s="25" t="n">
        <x:f>IFERROR(R85/Q85,0)</x:f>
        <x:v>0</x:v>
      </x:c>
      <x:c r="Z85" s="25" t="n">
        <x:f>IFERROR(V85*30%+W85*30%+X85*20%+Y85*20%,0)</x:f>
        <x:v>0</x:v>
      </x:c>
    </x:row>
    <x:row r="86" ht="44" customHeight="1">
      <x:c r="A86" s="23" t="str">
        <x:v>C-081</x:v>
      </x:c>
      <x:c r="B86" s="28"/>
      <x:c r="C86" s="23" t="str">
        <x:v>小红书</x:v>
      </x:c>
      <x:c r="D86" s="23" t="str"/>
      <x:c r="E86" s="23" t="str"/>
      <x:c r="F86" s="23" t="str"/>
      <x:c r="G86" s="23" t="str"/>
      <x:c r="H86" s="23" t="n">
        <x:v>0</x:v>
      </x:c>
      <x:c r="I86" s="23" t="n">
        <x:v>0</x:v>
      </x:c>
      <x:c r="J86" s="23" t="n">
        <x:v>0</x:v>
      </x:c>
      <x:c r="K86" s="23" t="n">
        <x:v>0</x:v>
      </x:c>
      <x:c r="L86" s="23" t="n">
        <x:v>0</x:v>
      </x:c>
      <x:c r="M86" s="23" t="n">
        <x:v>0</x:v>
      </x:c>
      <x:c r="N86" s="23" t="n">
        <x:v>0</x:v>
      </x:c>
      <x:c r="O86" s="23" t="n">
        <x:v>0</x:v>
      </x:c>
      <x:c r="P86" s="23" t="n">
        <x:v>0</x:v>
      </x:c>
      <x:c r="Q86" s="23" t="n">
        <x:v>0</x:v>
      </x:c>
      <x:c r="R86" s="23" t="n">
        <x:v>0</x:v>
      </x:c>
      <x:c r="S86" s="23" t="n">
        <x:v>0</x:v>
      </x:c>
      <x:c r="T86" s="23" t="n">
        <x:v>0</x:v>
      </x:c>
      <x:c r="U86" s="24" t="n">
        <x:f>SUM(K86:N86)</x:f>
        <x:v>0</x:v>
      </x:c>
      <x:c r="V86" s="25" t="n">
        <x:f>IFERROR(U86/J86,0)</x:f>
        <x:v>0</x:v>
      </x:c>
      <x:c r="W86" s="25" t="n">
        <x:f>IFERROR(L86/J86,0)</x:f>
        <x:v>0</x:v>
      </x:c>
      <x:c r="X86" s="25" t="n">
        <x:f>IFERROR(P86/O86,0)</x:f>
        <x:v>0</x:v>
      </x:c>
      <x:c r="Y86" s="25" t="n">
        <x:f>IFERROR(R86/Q86,0)</x:f>
        <x:v>0</x:v>
      </x:c>
      <x:c r="Z86" s="25" t="n">
        <x:f>IFERROR(V86*30%+W86*30%+X86*20%+Y86*20%,0)</x:f>
        <x:v>0</x:v>
      </x:c>
    </x:row>
    <x:row r="87" ht="44" customHeight="1">
      <x:c r="A87" s="23" t="str">
        <x:v>C-082</x:v>
      </x:c>
      <x:c r="B87" s="28"/>
      <x:c r="C87" s="23" t="str">
        <x:v>小红书</x:v>
      </x:c>
      <x:c r="D87" s="23" t="str"/>
      <x:c r="E87" s="23" t="str"/>
      <x:c r="F87" s="23" t="str"/>
      <x:c r="G87" s="23" t="str"/>
      <x:c r="H87" s="23" t="n">
        <x:v>0</x:v>
      </x:c>
      <x:c r="I87" s="23" t="n">
        <x:v>0</x:v>
      </x:c>
      <x:c r="J87" s="23" t="n">
        <x:v>0</x:v>
      </x:c>
      <x:c r="K87" s="23" t="n">
        <x:v>0</x:v>
      </x:c>
      <x:c r="L87" s="23" t="n">
        <x:v>0</x:v>
      </x:c>
      <x:c r="M87" s="23" t="n">
        <x:v>0</x:v>
      </x:c>
      <x:c r="N87" s="23" t="n">
        <x:v>0</x:v>
      </x:c>
      <x:c r="O87" s="23" t="n">
        <x:v>0</x:v>
      </x:c>
      <x:c r="P87" s="23" t="n">
        <x:v>0</x:v>
      </x:c>
      <x:c r="Q87" s="23" t="n">
        <x:v>0</x:v>
      </x:c>
      <x:c r="R87" s="23" t="n">
        <x:v>0</x:v>
      </x:c>
      <x:c r="S87" s="23" t="n">
        <x:v>0</x:v>
      </x:c>
      <x:c r="T87" s="23" t="n">
        <x:v>0</x:v>
      </x:c>
      <x:c r="U87" s="24" t="n">
        <x:f>SUM(K87:N87)</x:f>
        <x:v>0</x:v>
      </x:c>
      <x:c r="V87" s="25" t="n">
        <x:f>IFERROR(U87/J87,0)</x:f>
        <x:v>0</x:v>
      </x:c>
      <x:c r="W87" s="25" t="n">
        <x:f>IFERROR(L87/J87,0)</x:f>
        <x:v>0</x:v>
      </x:c>
      <x:c r="X87" s="25" t="n">
        <x:f>IFERROR(P87/O87,0)</x:f>
        <x:v>0</x:v>
      </x:c>
      <x:c r="Y87" s="25" t="n">
        <x:f>IFERROR(R87/Q87,0)</x:f>
        <x:v>0</x:v>
      </x:c>
      <x:c r="Z87" s="25" t="n">
        <x:f>IFERROR(V87*30%+W87*30%+X87*20%+Y87*20%,0)</x:f>
        <x:v>0</x:v>
      </x:c>
    </x:row>
    <x:row r="88" ht="44" customHeight="1">
      <x:c r="A88" s="23" t="str">
        <x:v>C-083</x:v>
      </x:c>
      <x:c r="B88" s="28"/>
      <x:c r="C88" s="23" t="str">
        <x:v>小红书</x:v>
      </x:c>
      <x:c r="D88" s="23" t="str"/>
      <x:c r="E88" s="23" t="str"/>
      <x:c r="F88" s="23" t="str"/>
      <x:c r="G88" s="23" t="str"/>
      <x:c r="H88" s="23" t="n">
        <x:v>0</x:v>
      </x:c>
      <x:c r="I88" s="23" t="n">
        <x:v>0</x:v>
      </x:c>
      <x:c r="J88" s="23" t="n">
        <x:v>0</x:v>
      </x:c>
      <x:c r="K88" s="23" t="n">
        <x:v>0</x:v>
      </x:c>
      <x:c r="L88" s="23" t="n">
        <x:v>0</x:v>
      </x:c>
      <x:c r="M88" s="23" t="n">
        <x:v>0</x:v>
      </x:c>
      <x:c r="N88" s="23" t="n">
        <x:v>0</x:v>
      </x:c>
      <x:c r="O88" s="23" t="n">
        <x:v>0</x:v>
      </x:c>
      <x:c r="P88" s="23" t="n">
        <x:v>0</x:v>
      </x:c>
      <x:c r="Q88" s="23" t="n">
        <x:v>0</x:v>
      </x:c>
      <x:c r="R88" s="23" t="n">
        <x:v>0</x:v>
      </x:c>
      <x:c r="S88" s="23" t="n">
        <x:v>0</x:v>
      </x:c>
      <x:c r="T88" s="23" t="n">
        <x:v>0</x:v>
      </x:c>
      <x:c r="U88" s="24" t="n">
        <x:f>SUM(K88:N88)</x:f>
        <x:v>0</x:v>
      </x:c>
      <x:c r="V88" s="25" t="n">
        <x:f>IFERROR(U88/J88,0)</x:f>
        <x:v>0</x:v>
      </x:c>
      <x:c r="W88" s="25" t="n">
        <x:f>IFERROR(L88/J88,0)</x:f>
        <x:v>0</x:v>
      </x:c>
      <x:c r="X88" s="25" t="n">
        <x:f>IFERROR(P88/O88,0)</x:f>
        <x:v>0</x:v>
      </x:c>
      <x:c r="Y88" s="25" t="n">
        <x:f>IFERROR(R88/Q88,0)</x:f>
        <x:v>0</x:v>
      </x:c>
      <x:c r="Z88" s="25" t="n">
        <x:f>IFERROR(V88*30%+W88*30%+X88*20%+Y88*20%,0)</x:f>
        <x:v>0</x:v>
      </x:c>
    </x:row>
    <x:row r="89" ht="44" customHeight="1">
      <x:c r="A89" s="23" t="str">
        <x:v>C-084</x:v>
      </x:c>
      <x:c r="B89" s="28"/>
      <x:c r="C89" s="23" t="str">
        <x:v>小红书</x:v>
      </x:c>
      <x:c r="D89" s="23" t="str"/>
      <x:c r="E89" s="23" t="str"/>
      <x:c r="F89" s="23" t="str"/>
      <x:c r="G89" s="23" t="str"/>
      <x:c r="H89" s="23" t="n">
        <x:v>0</x:v>
      </x:c>
      <x:c r="I89" s="23" t="n">
        <x:v>0</x:v>
      </x:c>
      <x:c r="J89" s="23" t="n">
        <x:v>0</x:v>
      </x:c>
      <x:c r="K89" s="23" t="n">
        <x:v>0</x:v>
      </x:c>
      <x:c r="L89" s="23" t="n">
        <x:v>0</x:v>
      </x:c>
      <x:c r="M89" s="23" t="n">
        <x:v>0</x:v>
      </x:c>
      <x:c r="N89" s="23" t="n">
        <x:v>0</x:v>
      </x:c>
      <x:c r="O89" s="23" t="n">
        <x:v>0</x:v>
      </x:c>
      <x:c r="P89" s="23" t="n">
        <x:v>0</x:v>
      </x:c>
      <x:c r="Q89" s="23" t="n">
        <x:v>0</x:v>
      </x:c>
      <x:c r="R89" s="23" t="n">
        <x:v>0</x:v>
      </x:c>
      <x:c r="S89" s="23" t="n">
        <x:v>0</x:v>
      </x:c>
      <x:c r="T89" s="23" t="n">
        <x:v>0</x:v>
      </x:c>
      <x:c r="U89" s="24" t="n">
        <x:f>SUM(K89:N89)</x:f>
        <x:v>0</x:v>
      </x:c>
      <x:c r="V89" s="25" t="n">
        <x:f>IFERROR(U89/J89,0)</x:f>
        <x:v>0</x:v>
      </x:c>
      <x:c r="W89" s="25" t="n">
        <x:f>IFERROR(L89/J89,0)</x:f>
        <x:v>0</x:v>
      </x:c>
      <x:c r="X89" s="25" t="n">
        <x:f>IFERROR(P89/O89,0)</x:f>
        <x:v>0</x:v>
      </x:c>
      <x:c r="Y89" s="25" t="n">
        <x:f>IFERROR(R89/Q89,0)</x:f>
        <x:v>0</x:v>
      </x:c>
      <x:c r="Z89" s="25" t="n">
        <x:f>IFERROR(V89*30%+W89*30%+X89*20%+Y89*20%,0)</x:f>
        <x:v>0</x:v>
      </x:c>
    </x:row>
    <x:row r="90" ht="44" customHeight="1">
      <x:c r="A90" s="23" t="str">
        <x:v>C-085</x:v>
      </x:c>
      <x:c r="B90" s="28"/>
      <x:c r="C90" s="23" t="str">
        <x:v>小红书</x:v>
      </x:c>
      <x:c r="D90" s="23" t="str"/>
      <x:c r="E90" s="23" t="str"/>
      <x:c r="F90" s="23" t="str"/>
      <x:c r="G90" s="23" t="str"/>
      <x:c r="H90" s="23" t="n">
        <x:v>0</x:v>
      </x:c>
      <x:c r="I90" s="23" t="n">
        <x:v>0</x:v>
      </x:c>
      <x:c r="J90" s="23" t="n">
        <x:v>0</x:v>
      </x:c>
      <x:c r="K90" s="23" t="n">
        <x:v>0</x:v>
      </x:c>
      <x:c r="L90" s="23" t="n">
        <x:v>0</x:v>
      </x:c>
      <x:c r="M90" s="23" t="n">
        <x:v>0</x:v>
      </x:c>
      <x:c r="N90" s="23" t="n">
        <x:v>0</x:v>
      </x:c>
      <x:c r="O90" s="23" t="n">
        <x:v>0</x:v>
      </x:c>
      <x:c r="P90" s="23" t="n">
        <x:v>0</x:v>
      </x:c>
      <x:c r="Q90" s="23" t="n">
        <x:v>0</x:v>
      </x:c>
      <x:c r="R90" s="23" t="n">
        <x:v>0</x:v>
      </x:c>
      <x:c r="S90" s="23" t="n">
        <x:v>0</x:v>
      </x:c>
      <x:c r="T90" s="23" t="n">
        <x:v>0</x:v>
      </x:c>
      <x:c r="U90" s="24" t="n">
        <x:f>SUM(K90:N90)</x:f>
        <x:v>0</x:v>
      </x:c>
      <x:c r="V90" s="25" t="n">
        <x:f>IFERROR(U90/J90,0)</x:f>
        <x:v>0</x:v>
      </x:c>
      <x:c r="W90" s="25" t="n">
        <x:f>IFERROR(L90/J90,0)</x:f>
        <x:v>0</x:v>
      </x:c>
      <x:c r="X90" s="25" t="n">
        <x:f>IFERROR(P90/O90,0)</x:f>
        <x:v>0</x:v>
      </x:c>
      <x:c r="Y90" s="25" t="n">
        <x:f>IFERROR(R90/Q90,0)</x:f>
        <x:v>0</x:v>
      </x:c>
      <x:c r="Z90" s="25" t="n">
        <x:f>IFERROR(V90*30%+W90*30%+X90*20%+Y90*20%,0)</x:f>
        <x:v>0</x:v>
      </x:c>
    </x:row>
    <x:row r="91" ht="44" customHeight="1">
      <x:c r="A91" s="23" t="str">
        <x:v>C-086</x:v>
      </x:c>
      <x:c r="B91" s="28"/>
      <x:c r="C91" s="23" t="str">
        <x:v>小红书</x:v>
      </x:c>
      <x:c r="D91" s="23" t="str"/>
      <x:c r="E91" s="23" t="str"/>
      <x:c r="F91" s="23" t="str"/>
      <x:c r="G91" s="23" t="str"/>
      <x:c r="H91" s="23" t="n">
        <x:v>0</x:v>
      </x:c>
      <x:c r="I91" s="23" t="n">
        <x:v>0</x:v>
      </x:c>
      <x:c r="J91" s="23" t="n">
        <x:v>0</x:v>
      </x:c>
      <x:c r="K91" s="23" t="n">
        <x:v>0</x:v>
      </x:c>
      <x:c r="L91" s="23" t="n">
        <x:v>0</x:v>
      </x:c>
      <x:c r="M91" s="23" t="n">
        <x:v>0</x:v>
      </x:c>
      <x:c r="N91" s="23" t="n">
        <x:v>0</x:v>
      </x:c>
      <x:c r="O91" s="23" t="n">
        <x:v>0</x:v>
      </x:c>
      <x:c r="P91" s="23" t="n">
        <x:v>0</x:v>
      </x:c>
      <x:c r="Q91" s="23" t="n">
        <x:v>0</x:v>
      </x:c>
      <x:c r="R91" s="23" t="n">
        <x:v>0</x:v>
      </x:c>
      <x:c r="S91" s="23" t="n">
        <x:v>0</x:v>
      </x:c>
      <x:c r="T91" s="23" t="n">
        <x:v>0</x:v>
      </x:c>
      <x:c r="U91" s="24" t="n">
        <x:f>SUM(K91:N91)</x:f>
        <x:v>0</x:v>
      </x:c>
      <x:c r="V91" s="25" t="n">
        <x:f>IFERROR(U91/J91,0)</x:f>
        <x:v>0</x:v>
      </x:c>
      <x:c r="W91" s="25" t="n">
        <x:f>IFERROR(L91/J91,0)</x:f>
        <x:v>0</x:v>
      </x:c>
      <x:c r="X91" s="25" t="n">
        <x:f>IFERROR(P91/O91,0)</x:f>
        <x:v>0</x:v>
      </x:c>
      <x:c r="Y91" s="25" t="n">
        <x:f>IFERROR(R91/Q91,0)</x:f>
        <x:v>0</x:v>
      </x:c>
      <x:c r="Z91" s="25" t="n">
        <x:f>IFERROR(V91*30%+W91*30%+X91*20%+Y91*20%,0)</x:f>
        <x:v>0</x:v>
      </x:c>
    </x:row>
    <x:row r="92" ht="44" customHeight="1">
      <x:c r="A92" s="23" t="str">
        <x:v>C-087</x:v>
      </x:c>
      <x:c r="B92" s="28"/>
      <x:c r="C92" s="23" t="str">
        <x:v>小红书</x:v>
      </x:c>
      <x:c r="D92" s="23" t="str"/>
      <x:c r="E92" s="23" t="str"/>
      <x:c r="F92" s="23" t="str"/>
      <x:c r="G92" s="23" t="str"/>
      <x:c r="H92" s="23" t="n">
        <x:v>0</x:v>
      </x:c>
      <x:c r="I92" s="23" t="n">
        <x:v>0</x:v>
      </x:c>
      <x:c r="J92" s="23" t="n">
        <x:v>0</x:v>
      </x:c>
      <x:c r="K92" s="23" t="n">
        <x:v>0</x:v>
      </x:c>
      <x:c r="L92" s="23" t="n">
        <x:v>0</x:v>
      </x:c>
      <x:c r="M92" s="23" t="n">
        <x:v>0</x:v>
      </x:c>
      <x:c r="N92" s="23" t="n">
        <x:v>0</x:v>
      </x:c>
      <x:c r="O92" s="23" t="n">
        <x:v>0</x:v>
      </x:c>
      <x:c r="P92" s="23" t="n">
        <x:v>0</x:v>
      </x:c>
      <x:c r="Q92" s="23" t="n">
        <x:v>0</x:v>
      </x:c>
      <x:c r="R92" s="23" t="n">
        <x:v>0</x:v>
      </x:c>
      <x:c r="S92" s="23" t="n">
        <x:v>0</x:v>
      </x:c>
      <x:c r="T92" s="23" t="n">
        <x:v>0</x:v>
      </x:c>
      <x:c r="U92" s="24" t="n">
        <x:f>SUM(K92:N92)</x:f>
        <x:v>0</x:v>
      </x:c>
      <x:c r="V92" s="25" t="n">
        <x:f>IFERROR(U92/J92,0)</x:f>
        <x:v>0</x:v>
      </x:c>
      <x:c r="W92" s="25" t="n">
        <x:f>IFERROR(L92/J92,0)</x:f>
        <x:v>0</x:v>
      </x:c>
      <x:c r="X92" s="25" t="n">
        <x:f>IFERROR(P92/O92,0)</x:f>
        <x:v>0</x:v>
      </x:c>
      <x:c r="Y92" s="25" t="n">
        <x:f>IFERROR(R92/Q92,0)</x:f>
        <x:v>0</x:v>
      </x:c>
      <x:c r="Z92" s="25" t="n">
        <x:f>IFERROR(V92*30%+W92*30%+X92*20%+Y92*20%,0)</x:f>
        <x:v>0</x:v>
      </x:c>
    </x:row>
    <x:row r="93" ht="44" customHeight="1">
      <x:c r="A93" s="23" t="str">
        <x:v>C-088</x:v>
      </x:c>
      <x:c r="B93" s="28"/>
      <x:c r="C93" s="23" t="str">
        <x:v>小红书</x:v>
      </x:c>
      <x:c r="D93" s="23" t="str"/>
      <x:c r="E93" s="23" t="str"/>
      <x:c r="F93" s="23" t="str"/>
      <x:c r="G93" s="23" t="str"/>
      <x:c r="H93" s="23" t="n">
        <x:v>0</x:v>
      </x:c>
      <x:c r="I93" s="23" t="n">
        <x:v>0</x:v>
      </x:c>
      <x:c r="J93" s="23" t="n">
        <x:v>0</x:v>
      </x:c>
      <x:c r="K93" s="23" t="n">
        <x:v>0</x:v>
      </x:c>
      <x:c r="L93" s="23" t="n">
        <x:v>0</x:v>
      </x:c>
      <x:c r="M93" s="23" t="n">
        <x:v>0</x:v>
      </x:c>
      <x:c r="N93" s="23" t="n">
        <x:v>0</x:v>
      </x:c>
      <x:c r="O93" s="23" t="n">
        <x:v>0</x:v>
      </x:c>
      <x:c r="P93" s="23" t="n">
        <x:v>0</x:v>
      </x:c>
      <x:c r="Q93" s="23" t="n">
        <x:v>0</x:v>
      </x:c>
      <x:c r="R93" s="23" t="n">
        <x:v>0</x:v>
      </x:c>
      <x:c r="S93" s="23" t="n">
        <x:v>0</x:v>
      </x:c>
      <x:c r="T93" s="23" t="n">
        <x:v>0</x:v>
      </x:c>
      <x:c r="U93" s="24" t="n">
        <x:f>SUM(K93:N93)</x:f>
        <x:v>0</x:v>
      </x:c>
      <x:c r="V93" s="25" t="n">
        <x:f>IFERROR(U93/J93,0)</x:f>
        <x:v>0</x:v>
      </x:c>
      <x:c r="W93" s="25" t="n">
        <x:f>IFERROR(L93/J93,0)</x:f>
        <x:v>0</x:v>
      </x:c>
      <x:c r="X93" s="25" t="n">
        <x:f>IFERROR(P93/O93,0)</x:f>
        <x:v>0</x:v>
      </x:c>
      <x:c r="Y93" s="25" t="n">
        <x:f>IFERROR(R93/Q93,0)</x:f>
        <x:v>0</x:v>
      </x:c>
      <x:c r="Z93" s="25" t="n">
        <x:f>IFERROR(V93*30%+W93*30%+X93*20%+Y93*20%,0)</x:f>
        <x:v>0</x:v>
      </x:c>
    </x:row>
    <x:row r="94" ht="44" customHeight="1">
      <x:c r="A94" s="23" t="str">
        <x:v>C-089</x:v>
      </x:c>
      <x:c r="B94" s="28"/>
      <x:c r="C94" s="23" t="str">
        <x:v>小红书</x:v>
      </x:c>
      <x:c r="D94" s="23" t="str"/>
      <x:c r="E94" s="23" t="str"/>
      <x:c r="F94" s="23" t="str"/>
      <x:c r="G94" s="23" t="str"/>
      <x:c r="H94" s="23" t="n">
        <x:v>0</x:v>
      </x:c>
      <x:c r="I94" s="23" t="n">
        <x:v>0</x:v>
      </x:c>
      <x:c r="J94" s="23" t="n">
        <x:v>0</x:v>
      </x:c>
      <x:c r="K94" s="23" t="n">
        <x:v>0</x:v>
      </x:c>
      <x:c r="L94" s="23" t="n">
        <x:v>0</x:v>
      </x:c>
      <x:c r="M94" s="23" t="n">
        <x:v>0</x:v>
      </x:c>
      <x:c r="N94" s="23" t="n">
        <x:v>0</x:v>
      </x:c>
      <x:c r="O94" s="23" t="n">
        <x:v>0</x:v>
      </x:c>
      <x:c r="P94" s="23" t="n">
        <x:v>0</x:v>
      </x:c>
      <x:c r="Q94" s="23" t="n">
        <x:v>0</x:v>
      </x:c>
      <x:c r="R94" s="23" t="n">
        <x:v>0</x:v>
      </x:c>
      <x:c r="S94" s="23" t="n">
        <x:v>0</x:v>
      </x:c>
      <x:c r="T94" s="23" t="n">
        <x:v>0</x:v>
      </x:c>
      <x:c r="U94" s="24" t="n">
        <x:f>SUM(K94:N94)</x:f>
        <x:v>0</x:v>
      </x:c>
      <x:c r="V94" s="25" t="n">
        <x:f>IFERROR(U94/J94,0)</x:f>
        <x:v>0</x:v>
      </x:c>
      <x:c r="W94" s="25" t="n">
        <x:f>IFERROR(L94/J94,0)</x:f>
        <x:v>0</x:v>
      </x:c>
      <x:c r="X94" s="25" t="n">
        <x:f>IFERROR(P94/O94,0)</x:f>
        <x:v>0</x:v>
      </x:c>
      <x:c r="Y94" s="25" t="n">
        <x:f>IFERROR(R94/Q94,0)</x:f>
        <x:v>0</x:v>
      </x:c>
      <x:c r="Z94" s="25" t="n">
        <x:f>IFERROR(V94*30%+W94*30%+X94*20%+Y94*20%,0)</x:f>
        <x:v>0</x:v>
      </x:c>
    </x:row>
    <x:row r="95" ht="44" customHeight="1">
      <x:c r="A95" s="23" t="str">
        <x:v>C-090</x:v>
      </x:c>
      <x:c r="B95" s="28"/>
      <x:c r="C95" s="23" t="str">
        <x:v>小红书</x:v>
      </x:c>
      <x:c r="D95" s="23" t="str"/>
      <x:c r="E95" s="23" t="str"/>
      <x:c r="F95" s="23" t="str"/>
      <x:c r="G95" s="23" t="str"/>
      <x:c r="H95" s="23" t="n">
        <x:v>0</x:v>
      </x:c>
      <x:c r="I95" s="23" t="n">
        <x:v>0</x:v>
      </x:c>
      <x:c r="J95" s="23" t="n">
        <x:v>0</x:v>
      </x:c>
      <x:c r="K95" s="23" t="n">
        <x:v>0</x:v>
      </x:c>
      <x:c r="L95" s="23" t="n">
        <x:v>0</x:v>
      </x:c>
      <x:c r="M95" s="23" t="n">
        <x:v>0</x:v>
      </x:c>
      <x:c r="N95" s="23" t="n">
        <x:v>0</x:v>
      </x:c>
      <x:c r="O95" s="23" t="n">
        <x:v>0</x:v>
      </x:c>
      <x:c r="P95" s="23" t="n">
        <x:v>0</x:v>
      </x:c>
      <x:c r="Q95" s="23" t="n">
        <x:v>0</x:v>
      </x:c>
      <x:c r="R95" s="23" t="n">
        <x:v>0</x:v>
      </x:c>
      <x:c r="S95" s="23" t="n">
        <x:v>0</x:v>
      </x:c>
      <x:c r="T95" s="23" t="n">
        <x:v>0</x:v>
      </x:c>
      <x:c r="U95" s="24" t="n">
        <x:f>SUM(K95:N95)</x:f>
        <x:v>0</x:v>
      </x:c>
      <x:c r="V95" s="25" t="n">
        <x:f>IFERROR(U95/J95,0)</x:f>
        <x:v>0</x:v>
      </x:c>
      <x:c r="W95" s="25" t="n">
        <x:f>IFERROR(L95/J95,0)</x:f>
        <x:v>0</x:v>
      </x:c>
      <x:c r="X95" s="25" t="n">
        <x:f>IFERROR(P95/O95,0)</x:f>
        <x:v>0</x:v>
      </x:c>
      <x:c r="Y95" s="25" t="n">
        <x:f>IFERROR(R95/Q95,0)</x:f>
        <x:v>0</x:v>
      </x:c>
      <x:c r="Z95" s="25" t="n">
        <x:f>IFERROR(V95*30%+W95*30%+X95*20%+Y95*20%,0)</x:f>
        <x:v>0</x:v>
      </x:c>
    </x:row>
    <x:row r="96" ht="44" customHeight="1">
      <x:c r="A96" s="23" t="str">
        <x:v>C-091</x:v>
      </x:c>
      <x:c r="B96" s="28"/>
      <x:c r="C96" s="23" t="str">
        <x:v>小红书</x:v>
      </x:c>
      <x:c r="D96" s="23" t="str"/>
      <x:c r="E96" s="23" t="str"/>
      <x:c r="F96" s="23" t="str"/>
      <x:c r="G96" s="23" t="str"/>
      <x:c r="H96" s="23" t="n">
        <x:v>0</x:v>
      </x:c>
      <x:c r="I96" s="23" t="n">
        <x:v>0</x:v>
      </x:c>
      <x:c r="J96" s="23" t="n">
        <x:v>0</x:v>
      </x:c>
      <x:c r="K96" s="23" t="n">
        <x:v>0</x:v>
      </x:c>
      <x:c r="L96" s="23" t="n">
        <x:v>0</x:v>
      </x:c>
      <x:c r="M96" s="23" t="n">
        <x:v>0</x:v>
      </x:c>
      <x:c r="N96" s="23" t="n">
        <x:v>0</x:v>
      </x:c>
      <x:c r="O96" s="23" t="n">
        <x:v>0</x:v>
      </x:c>
      <x:c r="P96" s="23" t="n">
        <x:v>0</x:v>
      </x:c>
      <x:c r="Q96" s="23" t="n">
        <x:v>0</x:v>
      </x:c>
      <x:c r="R96" s="23" t="n">
        <x:v>0</x:v>
      </x:c>
      <x:c r="S96" s="23" t="n">
        <x:v>0</x:v>
      </x:c>
      <x:c r="T96" s="23" t="n">
        <x:v>0</x:v>
      </x:c>
      <x:c r="U96" s="24" t="n">
        <x:f>SUM(K96:N96)</x:f>
        <x:v>0</x:v>
      </x:c>
      <x:c r="V96" s="25" t="n">
        <x:f>IFERROR(U96/J96,0)</x:f>
        <x:v>0</x:v>
      </x:c>
      <x:c r="W96" s="25" t="n">
        <x:f>IFERROR(L96/J96,0)</x:f>
        <x:v>0</x:v>
      </x:c>
      <x:c r="X96" s="25" t="n">
        <x:f>IFERROR(P96/O96,0)</x:f>
        <x:v>0</x:v>
      </x:c>
      <x:c r="Y96" s="25" t="n">
        <x:f>IFERROR(R96/Q96,0)</x:f>
        <x:v>0</x:v>
      </x:c>
      <x:c r="Z96" s="25" t="n">
        <x:f>IFERROR(V96*30%+W96*30%+X96*20%+Y96*20%,0)</x:f>
        <x:v>0</x:v>
      </x:c>
    </x:row>
    <x:row r="97" ht="44" customHeight="1">
      <x:c r="A97" s="23" t="str">
        <x:v>C-092</x:v>
      </x:c>
      <x:c r="B97" s="28"/>
      <x:c r="C97" s="23" t="str">
        <x:v>小红书</x:v>
      </x:c>
      <x:c r="D97" s="23" t="str"/>
      <x:c r="E97" s="23" t="str"/>
      <x:c r="F97" s="23" t="str"/>
      <x:c r="G97" s="23" t="str"/>
      <x:c r="H97" s="23" t="n">
        <x:v>0</x:v>
      </x:c>
      <x:c r="I97" s="23" t="n">
        <x:v>0</x:v>
      </x:c>
      <x:c r="J97" s="23" t="n">
        <x:v>0</x:v>
      </x:c>
      <x:c r="K97" s="23" t="n">
        <x:v>0</x:v>
      </x:c>
      <x:c r="L97" s="23" t="n">
        <x:v>0</x:v>
      </x:c>
      <x:c r="M97" s="23" t="n">
        <x:v>0</x:v>
      </x:c>
      <x:c r="N97" s="23" t="n">
        <x:v>0</x:v>
      </x:c>
      <x:c r="O97" s="23" t="n">
        <x:v>0</x:v>
      </x:c>
      <x:c r="P97" s="23" t="n">
        <x:v>0</x:v>
      </x:c>
      <x:c r="Q97" s="23" t="n">
        <x:v>0</x:v>
      </x:c>
      <x:c r="R97" s="23" t="n">
        <x:v>0</x:v>
      </x:c>
      <x:c r="S97" s="23" t="n">
        <x:v>0</x:v>
      </x:c>
      <x:c r="T97" s="23" t="n">
        <x:v>0</x:v>
      </x:c>
      <x:c r="U97" s="24" t="n">
        <x:f>SUM(K97:N97)</x:f>
        <x:v>0</x:v>
      </x:c>
      <x:c r="V97" s="25" t="n">
        <x:f>IFERROR(U97/J97,0)</x:f>
        <x:v>0</x:v>
      </x:c>
      <x:c r="W97" s="25" t="n">
        <x:f>IFERROR(L97/J97,0)</x:f>
        <x:v>0</x:v>
      </x:c>
      <x:c r="X97" s="25" t="n">
        <x:f>IFERROR(P97/O97,0)</x:f>
        <x:v>0</x:v>
      </x:c>
      <x:c r="Y97" s="25" t="n">
        <x:f>IFERROR(R97/Q97,0)</x:f>
        <x:v>0</x:v>
      </x:c>
      <x:c r="Z97" s="25" t="n">
        <x:f>IFERROR(V97*30%+W97*30%+X97*20%+Y97*20%,0)</x:f>
        <x:v>0</x:v>
      </x:c>
    </x:row>
    <x:row r="98" ht="44" customHeight="1">
      <x:c r="A98" s="23" t="str">
        <x:v>C-093</x:v>
      </x:c>
      <x:c r="B98" s="28"/>
      <x:c r="C98" s="23" t="str">
        <x:v>小红书</x:v>
      </x:c>
      <x:c r="D98" s="23" t="str"/>
      <x:c r="E98" s="23" t="str"/>
      <x:c r="F98" s="23" t="str"/>
      <x:c r="G98" s="23" t="str"/>
      <x:c r="H98" s="23" t="n">
        <x:v>0</x:v>
      </x:c>
      <x:c r="I98" s="23" t="n">
        <x:v>0</x:v>
      </x:c>
      <x:c r="J98" s="23" t="n">
        <x:v>0</x:v>
      </x:c>
      <x:c r="K98" s="23" t="n">
        <x:v>0</x:v>
      </x:c>
      <x:c r="L98" s="23" t="n">
        <x:v>0</x:v>
      </x:c>
      <x:c r="M98" s="23" t="n">
        <x:v>0</x:v>
      </x:c>
      <x:c r="N98" s="23" t="n">
        <x:v>0</x:v>
      </x:c>
      <x:c r="O98" s="23" t="n">
        <x:v>0</x:v>
      </x:c>
      <x:c r="P98" s="23" t="n">
        <x:v>0</x:v>
      </x:c>
      <x:c r="Q98" s="23" t="n">
        <x:v>0</x:v>
      </x:c>
      <x:c r="R98" s="23" t="n">
        <x:v>0</x:v>
      </x:c>
      <x:c r="S98" s="23" t="n">
        <x:v>0</x:v>
      </x:c>
      <x:c r="T98" s="23" t="n">
        <x:v>0</x:v>
      </x:c>
      <x:c r="U98" s="24" t="n">
        <x:f>SUM(K98:N98)</x:f>
        <x:v>0</x:v>
      </x:c>
      <x:c r="V98" s="25" t="n">
        <x:f>IFERROR(U98/J98,0)</x:f>
        <x:v>0</x:v>
      </x:c>
      <x:c r="W98" s="25" t="n">
        <x:f>IFERROR(L98/J98,0)</x:f>
        <x:v>0</x:v>
      </x:c>
      <x:c r="X98" s="25" t="n">
        <x:f>IFERROR(P98/O98,0)</x:f>
        <x:v>0</x:v>
      </x:c>
      <x:c r="Y98" s="25" t="n">
        <x:f>IFERROR(R98/Q98,0)</x:f>
        <x:v>0</x:v>
      </x:c>
      <x:c r="Z98" s="25" t="n">
        <x:f>IFERROR(V98*30%+W98*30%+X98*20%+Y98*20%,0)</x:f>
        <x:v>0</x:v>
      </x:c>
    </x:row>
    <x:row r="99" ht="44" customHeight="1">
      <x:c r="A99" s="23" t="str">
        <x:v>C-094</x:v>
      </x:c>
      <x:c r="B99" s="28"/>
      <x:c r="C99" s="23" t="str">
        <x:v>小红书</x:v>
      </x:c>
      <x:c r="D99" s="23" t="str"/>
      <x:c r="E99" s="23" t="str"/>
      <x:c r="F99" s="23" t="str"/>
      <x:c r="G99" s="23" t="str"/>
      <x:c r="H99" s="23" t="n">
        <x:v>0</x:v>
      </x:c>
      <x:c r="I99" s="23" t="n">
        <x:v>0</x:v>
      </x:c>
      <x:c r="J99" s="23" t="n">
        <x:v>0</x:v>
      </x:c>
      <x:c r="K99" s="23" t="n">
        <x:v>0</x:v>
      </x:c>
      <x:c r="L99" s="23" t="n">
        <x:v>0</x:v>
      </x:c>
      <x:c r="M99" s="23" t="n">
        <x:v>0</x:v>
      </x:c>
      <x:c r="N99" s="23" t="n">
        <x:v>0</x:v>
      </x:c>
      <x:c r="O99" s="23" t="n">
        <x:v>0</x:v>
      </x:c>
      <x:c r="P99" s="23" t="n">
        <x:v>0</x:v>
      </x:c>
      <x:c r="Q99" s="23" t="n">
        <x:v>0</x:v>
      </x:c>
      <x:c r="R99" s="23" t="n">
        <x:v>0</x:v>
      </x:c>
      <x:c r="S99" s="23" t="n">
        <x:v>0</x:v>
      </x:c>
      <x:c r="T99" s="23" t="n">
        <x:v>0</x:v>
      </x:c>
      <x:c r="U99" s="24" t="n">
        <x:f>SUM(K99:N99)</x:f>
        <x:v>0</x:v>
      </x:c>
      <x:c r="V99" s="25" t="n">
        <x:f>IFERROR(U99/J99,0)</x:f>
        <x:v>0</x:v>
      </x:c>
      <x:c r="W99" s="25" t="n">
        <x:f>IFERROR(L99/J99,0)</x:f>
        <x:v>0</x:v>
      </x:c>
      <x:c r="X99" s="25" t="n">
        <x:f>IFERROR(P99/O99,0)</x:f>
        <x:v>0</x:v>
      </x:c>
      <x:c r="Y99" s="25" t="n">
        <x:f>IFERROR(R99/Q99,0)</x:f>
        <x:v>0</x:v>
      </x:c>
      <x:c r="Z99" s="25" t="n">
        <x:f>IFERROR(V99*30%+W99*30%+X99*20%+Y99*20%,0)</x:f>
        <x:v>0</x:v>
      </x:c>
    </x:row>
    <x:row r="100" ht="44" customHeight="1">
      <x:c r="A100" s="23" t="str">
        <x:v>C-095</x:v>
      </x:c>
      <x:c r="B100" s="28"/>
      <x:c r="C100" s="23" t="str">
        <x:v>小红书</x:v>
      </x:c>
      <x:c r="D100" s="23" t="str"/>
      <x:c r="E100" s="23" t="str"/>
      <x:c r="F100" s="23" t="str"/>
      <x:c r="G100" s="23" t="str"/>
      <x:c r="H100" s="23" t="n">
        <x:v>0</x:v>
      </x:c>
      <x:c r="I100" s="23" t="n">
        <x:v>0</x:v>
      </x:c>
      <x:c r="J100" s="23" t="n">
        <x:v>0</x:v>
      </x:c>
      <x:c r="K100" s="23" t="n">
        <x:v>0</x:v>
      </x:c>
      <x:c r="L100" s="23" t="n">
        <x:v>0</x:v>
      </x:c>
      <x:c r="M100" s="23" t="n">
        <x:v>0</x:v>
      </x:c>
      <x:c r="N100" s="23" t="n">
        <x:v>0</x:v>
      </x:c>
      <x:c r="O100" s="23" t="n">
        <x:v>0</x:v>
      </x:c>
      <x:c r="P100" s="23" t="n">
        <x:v>0</x:v>
      </x:c>
      <x:c r="Q100" s="23" t="n">
        <x:v>0</x:v>
      </x:c>
      <x:c r="R100" s="23" t="n">
        <x:v>0</x:v>
      </x:c>
      <x:c r="S100" s="23" t="n">
        <x:v>0</x:v>
      </x:c>
      <x:c r="T100" s="23" t="n">
        <x:v>0</x:v>
      </x:c>
      <x:c r="U100" s="24" t="n">
        <x:f>SUM(K100:N100)</x:f>
        <x:v>0</x:v>
      </x:c>
      <x:c r="V100" s="25" t="n">
        <x:f>IFERROR(U100/J100,0)</x:f>
        <x:v>0</x:v>
      </x:c>
      <x:c r="W100" s="25" t="n">
        <x:f>IFERROR(L100/J100,0)</x:f>
        <x:v>0</x:v>
      </x:c>
      <x:c r="X100" s="25" t="n">
        <x:f>IFERROR(P100/O100,0)</x:f>
        <x:v>0</x:v>
      </x:c>
      <x:c r="Y100" s="25" t="n">
        <x:f>IFERROR(R100/Q100,0)</x:f>
        <x:v>0</x:v>
      </x:c>
      <x:c r="Z100" s="25" t="n">
        <x:f>IFERROR(V100*30%+W100*30%+X100*20%+Y100*20%,0)</x:f>
        <x:v>0</x:v>
      </x:c>
    </x:row>
    <x:row r="101" ht="44" customHeight="1">
      <x:c r="A101" s="23" t="str">
        <x:v>C-096</x:v>
      </x:c>
      <x:c r="B101" s="28"/>
      <x:c r="C101" s="23" t="str">
        <x:v>小红书</x:v>
      </x:c>
      <x:c r="D101" s="23" t="str"/>
      <x:c r="E101" s="23" t="str"/>
      <x:c r="F101" s="23" t="str"/>
      <x:c r="G101" s="23" t="str"/>
      <x:c r="H101" s="23" t="n">
        <x:v>0</x:v>
      </x:c>
      <x:c r="I101" s="23" t="n">
        <x:v>0</x:v>
      </x:c>
      <x:c r="J101" s="23" t="n">
        <x:v>0</x:v>
      </x:c>
      <x:c r="K101" s="23" t="n">
        <x:v>0</x:v>
      </x:c>
      <x:c r="L101" s="23" t="n">
        <x:v>0</x:v>
      </x:c>
      <x:c r="M101" s="23" t="n">
        <x:v>0</x:v>
      </x:c>
      <x:c r="N101" s="23" t="n">
        <x:v>0</x:v>
      </x:c>
      <x:c r="O101" s="23" t="n">
        <x:v>0</x:v>
      </x:c>
      <x:c r="P101" s="23" t="n">
        <x:v>0</x:v>
      </x:c>
      <x:c r="Q101" s="23" t="n">
        <x:v>0</x:v>
      </x:c>
      <x:c r="R101" s="23" t="n">
        <x:v>0</x:v>
      </x:c>
      <x:c r="S101" s="23" t="n">
        <x:v>0</x:v>
      </x:c>
      <x:c r="T101" s="23" t="n">
        <x:v>0</x:v>
      </x:c>
      <x:c r="U101" s="24" t="n">
        <x:f>SUM(K101:N101)</x:f>
        <x:v>0</x:v>
      </x:c>
      <x:c r="V101" s="25" t="n">
        <x:f>IFERROR(U101/J101,0)</x:f>
        <x:v>0</x:v>
      </x:c>
      <x:c r="W101" s="25" t="n">
        <x:f>IFERROR(L101/J101,0)</x:f>
        <x:v>0</x:v>
      </x:c>
      <x:c r="X101" s="25" t="n">
        <x:f>IFERROR(P101/O101,0)</x:f>
        <x:v>0</x:v>
      </x:c>
      <x:c r="Y101" s="25" t="n">
        <x:f>IFERROR(R101/Q101,0)</x:f>
        <x:v>0</x:v>
      </x:c>
      <x:c r="Z101" s="25" t="n">
        <x:f>IFERROR(V101*30%+W101*30%+X101*20%+Y101*20%,0)</x:f>
        <x:v>0</x:v>
      </x:c>
    </x:row>
    <x:row r="102" ht="44" customHeight="1">
      <x:c r="A102" s="23" t="str">
        <x:v>C-097</x:v>
      </x:c>
      <x:c r="B102" s="28"/>
      <x:c r="C102" s="23" t="str">
        <x:v>小红书</x:v>
      </x:c>
      <x:c r="D102" s="23" t="str"/>
      <x:c r="E102" s="23" t="str"/>
      <x:c r="F102" s="23" t="str"/>
      <x:c r="G102" s="23" t="str"/>
      <x:c r="H102" s="23" t="n">
        <x:v>0</x:v>
      </x:c>
      <x:c r="I102" s="23" t="n">
        <x:v>0</x:v>
      </x:c>
      <x:c r="J102" s="23" t="n">
        <x:v>0</x:v>
      </x:c>
      <x:c r="K102" s="23" t="n">
        <x:v>0</x:v>
      </x:c>
      <x:c r="L102" s="23" t="n">
        <x:v>0</x:v>
      </x:c>
      <x:c r="M102" s="23" t="n">
        <x:v>0</x:v>
      </x:c>
      <x:c r="N102" s="23" t="n">
        <x:v>0</x:v>
      </x:c>
      <x:c r="O102" s="23" t="n">
        <x:v>0</x:v>
      </x:c>
      <x:c r="P102" s="23" t="n">
        <x:v>0</x:v>
      </x:c>
      <x:c r="Q102" s="23" t="n">
        <x:v>0</x:v>
      </x:c>
      <x:c r="R102" s="23" t="n">
        <x:v>0</x:v>
      </x:c>
      <x:c r="S102" s="23" t="n">
        <x:v>0</x:v>
      </x:c>
      <x:c r="T102" s="23" t="n">
        <x:v>0</x:v>
      </x:c>
      <x:c r="U102" s="24" t="n">
        <x:f>SUM(K102:N102)</x:f>
        <x:v>0</x:v>
      </x:c>
      <x:c r="V102" s="25" t="n">
        <x:f>IFERROR(U102/J102,0)</x:f>
        <x:v>0</x:v>
      </x:c>
      <x:c r="W102" s="25" t="n">
        <x:f>IFERROR(L102/J102,0)</x:f>
        <x:v>0</x:v>
      </x:c>
      <x:c r="X102" s="25" t="n">
        <x:f>IFERROR(P102/O102,0)</x:f>
        <x:v>0</x:v>
      </x:c>
      <x:c r="Y102" s="25" t="n">
        <x:f>IFERROR(R102/Q102,0)</x:f>
        <x:v>0</x:v>
      </x:c>
      <x:c r="Z102" s="25" t="n">
        <x:f>IFERROR(V102*30%+W102*30%+X102*20%+Y102*20%,0)</x:f>
        <x:v>0</x:v>
      </x:c>
    </x:row>
    <x:row r="103" ht="44" customHeight="1">
      <x:c r="A103" s="23" t="str">
        <x:v>C-098</x:v>
      </x:c>
      <x:c r="B103" s="28"/>
      <x:c r="C103" s="23" t="str">
        <x:v>小红书</x:v>
      </x:c>
      <x:c r="D103" s="23" t="str"/>
      <x:c r="E103" s="23" t="str"/>
      <x:c r="F103" s="23" t="str"/>
      <x:c r="G103" s="23" t="str"/>
      <x:c r="H103" s="23" t="n">
        <x:v>0</x:v>
      </x:c>
      <x:c r="I103" s="23" t="n">
        <x:v>0</x:v>
      </x:c>
      <x:c r="J103" s="23" t="n">
        <x:v>0</x:v>
      </x:c>
      <x:c r="K103" s="23" t="n">
        <x:v>0</x:v>
      </x:c>
      <x:c r="L103" s="23" t="n">
        <x:v>0</x:v>
      </x:c>
      <x:c r="M103" s="23" t="n">
        <x:v>0</x:v>
      </x:c>
      <x:c r="N103" s="23" t="n">
        <x:v>0</x:v>
      </x:c>
      <x:c r="O103" s="23" t="n">
        <x:v>0</x:v>
      </x:c>
      <x:c r="P103" s="23" t="n">
        <x:v>0</x:v>
      </x:c>
      <x:c r="Q103" s="23" t="n">
        <x:v>0</x:v>
      </x:c>
      <x:c r="R103" s="23" t="n">
        <x:v>0</x:v>
      </x:c>
      <x:c r="S103" s="23" t="n">
        <x:v>0</x:v>
      </x:c>
      <x:c r="T103" s="23" t="n">
        <x:v>0</x:v>
      </x:c>
      <x:c r="U103" s="24" t="n">
        <x:f>SUM(K103:N103)</x:f>
        <x:v>0</x:v>
      </x:c>
      <x:c r="V103" s="25" t="n">
        <x:f>IFERROR(U103/J103,0)</x:f>
        <x:v>0</x:v>
      </x:c>
      <x:c r="W103" s="25" t="n">
        <x:f>IFERROR(L103/J103,0)</x:f>
        <x:v>0</x:v>
      </x:c>
      <x:c r="X103" s="25" t="n">
        <x:f>IFERROR(P103/O103,0)</x:f>
        <x:v>0</x:v>
      </x:c>
      <x:c r="Y103" s="25" t="n">
        <x:f>IFERROR(R103/Q103,0)</x:f>
        <x:v>0</x:v>
      </x:c>
      <x:c r="Z103" s="25" t="n">
        <x:f>IFERROR(V103*30%+W103*30%+X103*20%+Y103*20%,0)</x:f>
        <x:v>0</x:v>
      </x:c>
    </x:row>
    <x:row r="104" ht="44" customHeight="1">
      <x:c r="A104" s="23" t="str">
        <x:v>C-099</x:v>
      </x:c>
      <x:c r="B104" s="28"/>
      <x:c r="C104" s="23" t="str">
        <x:v>小红书</x:v>
      </x:c>
      <x:c r="D104" s="23" t="str"/>
      <x:c r="E104" s="23" t="str"/>
      <x:c r="F104" s="23" t="str"/>
      <x:c r="G104" s="23" t="str"/>
      <x:c r="H104" s="23" t="n">
        <x:v>0</x:v>
      </x:c>
      <x:c r="I104" s="23" t="n">
        <x:v>0</x:v>
      </x:c>
      <x:c r="J104" s="23" t="n">
        <x:v>0</x:v>
      </x:c>
      <x:c r="K104" s="23" t="n">
        <x:v>0</x:v>
      </x:c>
      <x:c r="L104" s="23" t="n">
        <x:v>0</x:v>
      </x:c>
      <x:c r="M104" s="23" t="n">
        <x:v>0</x:v>
      </x:c>
      <x:c r="N104" s="23" t="n">
        <x:v>0</x:v>
      </x:c>
      <x:c r="O104" s="23" t="n">
        <x:v>0</x:v>
      </x:c>
      <x:c r="P104" s="23" t="n">
        <x:v>0</x:v>
      </x:c>
      <x:c r="Q104" s="23" t="n">
        <x:v>0</x:v>
      </x:c>
      <x:c r="R104" s="23" t="n">
        <x:v>0</x:v>
      </x:c>
      <x:c r="S104" s="23" t="n">
        <x:v>0</x:v>
      </x:c>
      <x:c r="T104" s="23" t="n">
        <x:v>0</x:v>
      </x:c>
      <x:c r="U104" s="24" t="n">
        <x:f>SUM(K104:N104)</x:f>
        <x:v>0</x:v>
      </x:c>
      <x:c r="V104" s="25" t="n">
        <x:f>IFERROR(U104/J104,0)</x:f>
        <x:v>0</x:v>
      </x:c>
      <x:c r="W104" s="25" t="n">
        <x:f>IFERROR(L104/J104,0)</x:f>
        <x:v>0</x:v>
      </x:c>
      <x:c r="X104" s="25" t="n">
        <x:f>IFERROR(P104/O104,0)</x:f>
        <x:v>0</x:v>
      </x:c>
      <x:c r="Y104" s="25" t="n">
        <x:f>IFERROR(R104/Q104,0)</x:f>
        <x:v>0</x:v>
      </x:c>
      <x:c r="Z104" s="25" t="n">
        <x:f>IFERROR(V104*30%+W104*30%+X104*20%+Y104*20%,0)</x:f>
        <x:v>0</x:v>
      </x:c>
    </x:row>
    <x:row r="105" ht="44" customHeight="1">
      <x:c r="A105" s="23" t="str">
        <x:v>C-100</x:v>
      </x:c>
      <x:c r="B105" s="28"/>
      <x:c r="C105" s="23" t="str">
        <x:v>小红书</x:v>
      </x:c>
      <x:c r="D105" s="23" t="str"/>
      <x:c r="E105" s="23" t="str"/>
      <x:c r="F105" s="23" t="str"/>
      <x:c r="G105" s="23" t="str"/>
      <x:c r="H105" s="23" t="n">
        <x:v>0</x:v>
      </x:c>
      <x:c r="I105" s="23" t="n">
        <x:v>0</x:v>
      </x:c>
      <x:c r="J105" s="23" t="n">
        <x:v>0</x:v>
      </x:c>
      <x:c r="K105" s="23" t="n">
        <x:v>0</x:v>
      </x:c>
      <x:c r="L105" s="23" t="n">
        <x:v>0</x:v>
      </x:c>
      <x:c r="M105" s="23" t="n">
        <x:v>0</x:v>
      </x:c>
      <x:c r="N105" s="23" t="n">
        <x:v>0</x:v>
      </x:c>
      <x:c r="O105" s="23" t="n">
        <x:v>0</x:v>
      </x:c>
      <x:c r="P105" s="23" t="n">
        <x:v>0</x:v>
      </x:c>
      <x:c r="Q105" s="23" t="n">
        <x:v>0</x:v>
      </x:c>
      <x:c r="R105" s="23" t="n">
        <x:v>0</x:v>
      </x:c>
      <x:c r="S105" s="23" t="n">
        <x:v>0</x:v>
      </x:c>
      <x:c r="T105" s="23" t="n">
        <x:v>0</x:v>
      </x:c>
      <x:c r="U105" s="24" t="n">
        <x:f>SUM(K105:N105)</x:f>
        <x:v>0</x:v>
      </x:c>
      <x:c r="V105" s="25" t="n">
        <x:f>IFERROR(U105/J105,0)</x:f>
        <x:v>0</x:v>
      </x:c>
      <x:c r="W105" s="25" t="n">
        <x:f>IFERROR(L105/J105,0)</x:f>
        <x:v>0</x:v>
      </x:c>
      <x:c r="X105" s="25" t="n">
        <x:f>IFERROR(P105/O105,0)</x:f>
        <x:v>0</x:v>
      </x:c>
      <x:c r="Y105" s="25" t="n">
        <x:f>IFERROR(R105/Q105,0)</x:f>
        <x:v>0</x:v>
      </x:c>
      <x:c r="Z105" s="25" t="n">
        <x:f>IFERROR(V105*30%+W105*30%+X105*20%+Y105*20%,0)</x:f>
        <x:v>0</x:v>
      </x:c>
    </x:row>
  </x:sheetData>
  <x:mergeCells>
    <x:mergeCell ref="A1:Z1"/>
    <x:mergeCell ref="A2:Z2"/>
  </x:mergeCells>
  <x:dataValidations count="2">
    <x:dataValidation type="list" sqref="C6:C105">
      <x:formula1>"小红书,Bilibili,微信公众号,视频号,抖音,知乎"</x:formula1>
    </x:dataValidation>
    <x:dataValidation type="list" sqref="D6:D105">
      <x:formula1>"P1 JD拆解,P2 一岗一简历,P3 简历自查,P4 面试准备,P5 产品透明,P6 用户共创"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6327ef686f449c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38" hidden="0" customWidth="1"/>
    <x:col min="5" max="5" width="16" hidden="0" customWidth="1"/>
    <x:col min="6" max="6" width="18" hidden="0" customWidth="1"/>
    <x:col min="7" max="7" width="30" hidden="0" customWidth="1"/>
  </x:cols>
  <x:sheetData>
    <x:row r="1" ht="34" customHeight="1">
      <x:c r="A1" s="3" t="str">
        <x:v>目标设置与口径</x:v>
      </x:c>
      <x:c r="B1" s="3"/>
      <x:c r="C1" s="3"/>
      <x:c r="D1" s="3"/>
      <x:c r="E1" s="3"/>
      <x:c r="F1" s="3"/>
      <x:c r="G1" s="3"/>
    </x:row>
    <x:row r="2" ht="34" customHeight="1">
      <x:c r="A2" s="7" t="str">
        <x:v>黄色目标值为首月内部假设，可在第14天按真实中位数修改；不是行业基准。</x:v>
      </x:c>
      <x:c r="B2" s="7"/>
      <x:c r="C2" s="7"/>
      <x:c r="D2" s="7"/>
      <x:c r="E2" s="7"/>
      <x:c r="F2" s="7"/>
      <x:c r="G2" s="7"/>
    </x:row>
    <x:row r="5" ht="30" customHeight="1">
      <x:c r="A5" s="13" t="str">
        <x:v>指标</x:v>
      </x:c>
      <x:c r="B5" s="13" t="str">
        <x:v>目标值</x:v>
      </x:c>
      <x:c r="C5" s="13" t="str">
        <x:v>方向</x:v>
      </x:c>
      <x:c r="D5" s="13" t="str">
        <x:v>公式</x:v>
      </x:c>
      <x:c r="E5" s="13" t="str">
        <x:v>层级</x:v>
      </x:c>
      <x:c r="F5" s="13" t="str">
        <x:v>校准时间</x:v>
      </x:c>
      <x:c r="G5" s="13" t="str">
        <x:v>负责人备注</x:v>
      </x:c>
    </x:row>
    <x:row r="6" ht="44" customHeight="1">
      <x:c r="A6" s="17" t="str">
        <x:v>互动率</x:v>
      </x:c>
      <x:c r="B6" s="29" t="n">
        <x:v>0.05</x:v>
      </x:c>
      <x:c r="C6" s="17" t="str">
        <x:v>越高越好</x:v>
      </x:c>
      <x:c r="D6" s="17" t="str">
        <x:v>（赞+藏+评+分享）/阅读</x:v>
      </x:c>
      <x:c r="E6" s="17" t="str">
        <x:v>内容价值</x:v>
      </x:c>
      <x:c r="F6" s="17" t="str">
        <x:v>第14天校准</x:v>
      </x:c>
      <x:c r="G6" s="17" t="str"/>
    </x:row>
    <x:row r="7" ht="44" customHeight="1">
      <x:c r="A7" s="17" t="str">
        <x:v>收藏率</x:v>
      </x:c>
      <x:c r="B7" s="29" t="n">
        <x:v>0.025</x:v>
      </x:c>
      <x:c r="C7" s="17" t="str">
        <x:v>越高越好</x:v>
      </x:c>
      <x:c r="D7" s="17" t="str">
        <x:v>收藏/阅读</x:v>
      </x:c>
      <x:c r="E7" s="17" t="str">
        <x:v>知识内容价值</x:v>
      </x:c>
      <x:c r="F7" s="17" t="str">
        <x:v>第14天校准</x:v>
      </x:c>
      <x:c r="G7" s="17" t="str"/>
    </x:row>
    <x:row r="8" ht="44" customHeight="1">
      <x:c r="A8" s="17" t="str">
        <x:v>主页访问率</x:v>
      </x:c>
      <x:c r="B8" s="29" t="n">
        <x:v>0.01</x:v>
      </x:c>
      <x:c r="C8" s="17" t="str">
        <x:v>越高越好</x:v>
      </x:c>
      <x:c r="D8" s="17" t="str">
        <x:v>主页访问/阅读</x:v>
      </x:c>
      <x:c r="E8" s="17" t="str">
        <x:v>兴趣</x:v>
      </x:c>
      <x:c r="F8" s="17" t="str">
        <x:v>第14天校准</x:v>
      </x:c>
      <x:c r="G8" s="17" t="str"/>
    </x:row>
    <x:row r="9" ht="44" customHeight="1">
      <x:c r="A9" s="17" t="str">
        <x:v>有效线索率</x:v>
      </x:c>
      <x:c r="B9" s="29" t="n">
        <x:v>0.08</x:v>
      </x:c>
      <x:c r="C9" s="17" t="str">
        <x:v>越高越好</x:v>
      </x:c>
      <x:c r="D9" s="17" t="str">
        <x:v>有效线索/主页访问</x:v>
      </x:c>
      <x:c r="E9" s="17" t="str">
        <x:v>获客</x:v>
      </x:c>
      <x:c r="F9" s="17" t="str">
        <x:v>第14天校准</x:v>
      </x:c>
      <x:c r="G9" s="17" t="str"/>
    </x:row>
    <x:row r="10" ht="44" customHeight="1">
      <x:c r="A10" s="17" t="str">
        <x:v>首次激活率</x:v>
      </x:c>
      <x:c r="B10" s="29" t="n">
        <x:v>0.35</x:v>
      </x:c>
      <x:c r="C10" s="17" t="str">
        <x:v>越高越好</x:v>
      </x:c>
      <x:c r="D10" s="17" t="str">
        <x:v>激活用户/获客用户</x:v>
      </x:c>
      <x:c r="E10" s="17" t="str">
        <x:v>产品价值</x:v>
      </x:c>
      <x:c r="F10" s="17" t="str">
        <x:v>埋点后校准</x:v>
      </x:c>
      <x:c r="G10" s="17" t="str"/>
    </x:row>
    <x:row r="11" ht="44" customHeight="1">
      <x:c r="A11" s="17" t="str">
        <x:v>D7第二岗位留存</x:v>
      </x:c>
      <x:c r="B11" s="29" t="n">
        <x:v>0.15</x:v>
      </x:c>
      <x:c r="C11" s="17" t="str">
        <x:v>越高越好</x:v>
      </x:c>
      <x:c r="D11" s="17" t="str">
        <x:v>D7第二岗位用户/激活用户</x:v>
      </x:c>
      <x:c r="E11" s="17" t="str">
        <x:v>北极星前导</x:v>
      </x:c>
      <x:c r="F11" s="17" t="str">
        <x:v>埋点后校准</x:v>
      </x:c>
      <x:c r="G11" s="17" t="str"/>
    </x:row>
    <x:row r="12" ht="44" customHeight="1">
      <x:c r="A12" s="17" t="str">
        <x:v>付费率</x:v>
      </x:c>
      <x:c r="B12" s="29" t="n">
        <x:v>0</x:v>
      </x:c>
      <x:c r="C12" s="17" t="str">
        <x:v>待定</x:v>
      </x:c>
      <x:c r="D12" s="17" t="str">
        <x:v>付费用户/激活用户</x:v>
      </x:c>
      <x:c r="E12" s="17" t="str">
        <x:v>商业</x:v>
      </x:c>
      <x:c r="F12" s="17" t="str">
        <x:v>定价确认后</x:v>
      </x:c>
      <x:c r="G12" s="17" t="str"/>
    </x:row>
    <x:row r="13" ht="44" customHeight="1">
      <x:c r="A13" s="17" t="str">
        <x:v>CAC</x:v>
      </x:c>
      <x:c r="B13" s="23" t="n">
        <x:v>0</x:v>
      </x:c>
      <x:c r="C13" s="17" t="str">
        <x:v>越低越好</x:v>
      </x:c>
      <x:c r="D13" s="17" t="str">
        <x:v>营销花费/获客用户</x:v>
      </x:c>
      <x:c r="E13" s="17" t="str">
        <x:v>效率</x:v>
      </x:c>
      <x:c r="F13" s="17" t="str">
        <x:v>有付费投放后</x:v>
      </x:c>
      <x:c r="G13" s="17" t="str"/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4ccae1330fbb4e9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4" hidden="0" customWidth="1"/>
    <x:col min="3" max="3" width="18" hidden="0" customWidth="1"/>
    <x:col min="4" max="4" width="14" hidden="0" customWidth="1"/>
    <x:col min="5" max="5" width="12" hidden="0" customWidth="1"/>
    <x:col min="6" max="6" width="12" hidden="0" customWidth="1"/>
    <x:col min="7" max="7" width="20" hidden="0" customWidth="1"/>
    <x:col min="8" max="8" width="10" hidden="0" customWidth="1"/>
    <x:col min="9" max="9" width="12" hidden="0" customWidth="1"/>
    <x:col min="10" max="10" width="20" hidden="0" customWidth="1"/>
    <x:col min="11" max="11" width="10" hidden="0" customWidth="1"/>
    <x:col min="12" max="12" width="12" hidden="0" customWidth="1"/>
    <x:col min="13" max="13" width="14" hidden="0" customWidth="1"/>
    <x:col min="14" max="14" width="20" hidden="0" customWidth="1"/>
    <x:col min="15" max="15" width="12" hidden="0" customWidth="1"/>
    <x:col min="16" max="16" width="34" hidden="0" customWidth="1"/>
  </x:cols>
  <x:sheetData>
    <x:row r="1" ht="34" customHeight="1">
      <x:c r="A1" s="3" t="str">
        <x:v>A/B测试计划与结果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4" customHeight="1">
      <x:c r="A2" s="7" t="str">
        <x:v>每次只改变一个变量；小样本只做方向判断，不写“统计显著”。黄色为输入，蓝色为公式。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5" ht="30" customHeight="1">
      <x:c r="A5" s="13" t="str">
        <x:v>测试ID</x:v>
      </x:c>
      <x:c r="B5" s="13" t="str">
        <x:v>假设</x:v>
      </x:c>
      <x:c r="C5" s="13" t="str">
        <x:v>唯一变量</x:v>
      </x:c>
      <x:c r="D5" s="13" t="str">
        <x:v>人群</x:v>
      </x:c>
      <x:c r="E5" s="13" t="str">
        <x:v>平台</x:v>
      </x:c>
      <x:c r="F5" s="13" t="str">
        <x:v>开始日期</x:v>
      </x:c>
      <x:c r="G5" s="13" t="str">
        <x:v>A版本</x:v>
      </x:c>
      <x:c r="H5" s="13" t="str">
        <x:v>A样本</x:v>
      </x:c>
      <x:c r="I5" s="13" t="str">
        <x:v>A指标</x:v>
      </x:c>
      <x:c r="J5" s="13" t="str">
        <x:v>B版本</x:v>
      </x:c>
      <x:c r="K5" s="13" t="str">
        <x:v>B样本</x:v>
      </x:c>
      <x:c r="L5" s="13" t="str">
        <x:v>B指标</x:v>
      </x:c>
      <x:c r="M5" s="13" t="str">
        <x:v>相对提升</x:v>
      </x:c>
      <x:c r="N5" s="13" t="str">
        <x:v>主指标</x:v>
      </x:c>
      <x:c r="O5" s="13" t="str">
        <x:v>状态</x:v>
      </x:c>
      <x:c r="P5" s="13" t="str">
        <x:v>结论</x:v>
      </x:c>
    </x:row>
    <x:row r="6" ht="44" customHeight="1">
      <x:c r="A6" s="17" t="str">
        <x:v>AB-01</x:v>
      </x:c>
      <x:c r="B6" s="17" t="str">
        <x:v>场景型标题比问题型标题更能带来收藏</x:v>
      </x:c>
      <x:c r="C6" s="17" t="str">
        <x:v>标题钩子</x:v>
      </x:c>
      <x:c r="D6" s="17" t="str">
        <x:v>应届生</x:v>
      </x:c>
      <x:c r="E6" s="17" t="str">
        <x:v>小红书</x:v>
      </x:c>
      <x:c r="F6" s="22" t="n">
        <x:v>46251</x:v>
      </x:c>
      <x:c r="G6" s="17" t="str">
        <x:v>问题型</x:v>
      </x:c>
      <x:c r="H6" s="23" t="n">
        <x:v>0</x:v>
      </x:c>
      <x:c r="I6" s="29" t="n">
        <x:v>0</x:v>
      </x:c>
      <x:c r="J6" s="23" t="str">
        <x:v>场景型</x:v>
      </x:c>
      <x:c r="K6" s="23" t="n">
        <x:v>0</x:v>
      </x:c>
      <x:c r="L6" s="29" t="n">
        <x:v>0</x:v>
      </x:c>
      <x:c r="M6" s="25" t="n">
        <x:f>IFERROR((L6-I6)/I6,0)</x:f>
        <x:v>0</x:v>
      </x:c>
      <x:c r="N6" s="17" t="str">
        <x:v>收藏率</x:v>
      </x:c>
      <x:c r="O6" s="23" t="str">
        <x:v>计划中</x:v>
      </x:c>
      <x:c r="P6" s="23" t="str"/>
    </x:row>
    <x:row r="7" ht="44" customHeight="1">
      <x:c r="A7" s="17" t="str">
        <x:v>AB-02</x:v>
      </x:c>
      <x:c r="B7" s="17" t="str">
        <x:v>8页图文比25秒录屏更适合JD拆解</x:v>
      </x:c>
      <x:c r="C7" s="17" t="str">
        <x:v>内容形式</x:v>
      </x:c>
      <x:c r="D7" s="17" t="str">
        <x:v>跳槽</x:v>
      </x:c>
      <x:c r="E7" s="17" t="str">
        <x:v>小红书</x:v>
      </x:c>
      <x:c r="F7" s="22" t="n">
        <x:v>46254</x:v>
      </x:c>
      <x:c r="G7" s="17" t="str">
        <x:v>8页图文</x:v>
      </x:c>
      <x:c r="H7" s="23" t="n">
        <x:v>0</x:v>
      </x:c>
      <x:c r="I7" s="29" t="n">
        <x:v>0</x:v>
      </x:c>
      <x:c r="J7" s="23" t="str">
        <x:v>25秒录屏</x:v>
      </x:c>
      <x:c r="K7" s="23" t="n">
        <x:v>0</x:v>
      </x:c>
      <x:c r="L7" s="29" t="n">
        <x:v>0</x:v>
      </x:c>
      <x:c r="M7" s="25" t="n">
        <x:f>IFERROR((L7-I7)/I7,0)</x:f>
        <x:v>0</x:v>
      </x:c>
      <x:c r="N7" s="17" t="str">
        <x:v>收藏率/主页访问率</x:v>
      </x:c>
      <x:c r="O7" s="23" t="str">
        <x:v>计划中</x:v>
      </x:c>
      <x:c r="P7" s="23" t="str"/>
    </x:row>
    <x:row r="8" ht="44" customHeight="1">
      <x:c r="A8" s="17" t="str">
        <x:v>AB-03</x:v>
      </x:c>
      <x:c r="B8" s="17" t="str">
        <x:v>JD→证据→修改理由比简单前后对比更可信</x:v>
      </x:c>
      <x:c r="C8" s="17" t="str">
        <x:v>证据结构</x:v>
      </x:c>
      <x:c r="D8" s="17" t="str">
        <x:v>转行</x:v>
      </x:c>
      <x:c r="E8" s="17" t="str">
        <x:v>小红书</x:v>
      </x:c>
      <x:c r="F8" s="22" t="n">
        <x:v>46258</x:v>
      </x:c>
      <x:c r="G8" s="17" t="str">
        <x:v>前后对比</x:v>
      </x:c>
      <x:c r="H8" s="23" t="n">
        <x:v>0</x:v>
      </x:c>
      <x:c r="I8" s="29" t="n">
        <x:v>0</x:v>
      </x:c>
      <x:c r="J8" s="23" t="str">
        <x:v>三栏证据</x:v>
      </x:c>
      <x:c r="K8" s="23" t="n">
        <x:v>0</x:v>
      </x:c>
      <x:c r="L8" s="29" t="n">
        <x:v>0</x:v>
      </x:c>
      <x:c r="M8" s="25" t="n">
        <x:f>IFERROR((L8-I8)/I8,0)</x:f>
        <x:v>0</x:v>
      </x:c>
      <x:c r="N8" s="17" t="str">
        <x:v>有效评论率</x:v>
      </x:c>
      <x:c r="O8" s="23" t="str">
        <x:v>计划中</x:v>
      </x:c>
      <x:c r="P8" s="23" t="str"/>
    </x:row>
    <x:row r="9" ht="44" customHeight="1">
      <x:c r="A9" s="17" t="str">
        <x:v>AB-04</x:v>
      </x:c>
      <x:c r="B9" s="17" t="str">
        <x:v>结尾核验提示与过程内提示对激活影响不同</x:v>
      </x:c>
      <x:c r="C9" s="17" t="str">
        <x:v>透明提示位置</x:v>
      </x:c>
      <x:c r="D9" s="17" t="str">
        <x:v>全部</x:v>
      </x:c>
      <x:c r="E9" s="17" t="str">
        <x:v>小红书</x:v>
      </x:c>
      <x:c r="F9" s="22" t="n">
        <x:v>46265</x:v>
      </x:c>
      <x:c r="G9" s="17" t="str">
        <x:v>结尾提示</x:v>
      </x:c>
      <x:c r="H9" s="23" t="n">
        <x:v>0</x:v>
      </x:c>
      <x:c r="I9" s="29" t="n">
        <x:v>0</x:v>
      </x:c>
      <x:c r="J9" s="23" t="str">
        <x:v>过程提示</x:v>
      </x:c>
      <x:c r="K9" s="23" t="n">
        <x:v>0</x:v>
      </x:c>
      <x:c r="L9" s="29" t="n">
        <x:v>0</x:v>
      </x:c>
      <x:c r="M9" s="25" t="n">
        <x:f>IFERROR((L9-I9)/I9,0)</x:f>
        <x:v>0</x:v>
      </x:c>
      <x:c r="N9" s="17" t="str">
        <x:v>主页访问/激活</x:v>
      </x:c>
      <x:c r="O9" s="23" t="str">
        <x:v>计划中</x:v>
      </x:c>
      <x:c r="P9" s="23" t="str"/>
    </x:row>
    <x:row r="10" ht="44" customHeight="1">
      <x:c r="A10" s="17" t="str">
        <x:v>AB-05</x:v>
      </x:c>
      <x:c r="B10" s="17" t="str">
        <x:v>保存自查CTA与查看主页CTA的行为不同</x:v>
      </x:c>
      <x:c r="C10" s="17" t="str">
        <x:v>CTA</x:v>
      </x:c>
      <x:c r="D10" s="17" t="str">
        <x:v>全部</x:v>
      </x:c>
      <x:c r="E10" s="17" t="str">
        <x:v>小红书</x:v>
      </x:c>
      <x:c r="F10" s="22" t="n">
        <x:v>46267</x:v>
      </x:c>
      <x:c r="G10" s="17" t="str">
        <x:v>保存自查</x:v>
      </x:c>
      <x:c r="H10" s="23" t="n">
        <x:v>0</x:v>
      </x:c>
      <x:c r="I10" s="29" t="n">
        <x:v>0</x:v>
      </x:c>
      <x:c r="J10" s="23" t="str">
        <x:v>查看主页</x:v>
      </x:c>
      <x:c r="K10" s="23" t="n">
        <x:v>0</x:v>
      </x:c>
      <x:c r="L10" s="29" t="n">
        <x:v>0</x:v>
      </x:c>
      <x:c r="M10" s="25" t="n">
        <x:f>IFERROR((L10-I10)/I10,0)</x:f>
        <x:v>0</x:v>
      </x:c>
      <x:c r="N10" s="17" t="str">
        <x:v>收藏/主页访问</x:v>
      </x:c>
      <x:c r="O10" s="23" t="str">
        <x:v>计划中</x:v>
      </x:c>
      <x:c r="P10" s="23" t="str"/>
    </x:row>
    <x:row r="11" ht="44" customHeight="1">
      <x:c r="A11" s="17" t="str">
        <x:v>AB-06</x:v>
      </x:c>
      <x:c r="B11" s="17" t="str">
        <x:v>应届生场景与1—3年跳槽场景线索质量不同</x:v>
      </x:c>
      <x:c r="C11" s="17" t="str">
        <x:v>人群</x:v>
      </x:c>
      <x:c r="D11" s="17" t="str">
        <x:v>多类</x:v>
      </x:c>
      <x:c r="E11" s="17" t="str">
        <x:v>小红书</x:v>
      </x:c>
      <x:c r="F11" s="22" t="n">
        <x:v>46269</x:v>
      </x:c>
      <x:c r="G11" s="17" t="str">
        <x:v>应届生</x:v>
      </x:c>
      <x:c r="H11" s="23" t="n">
        <x:v>0</x:v>
      </x:c>
      <x:c r="I11" s="29" t="n">
        <x:v>0</x:v>
      </x:c>
      <x:c r="J11" s="23" t="str">
        <x:v>1—3年跳槽</x:v>
      </x:c>
      <x:c r="K11" s="23" t="n">
        <x:v>0</x:v>
      </x:c>
      <x:c r="L11" s="29" t="n">
        <x:v>0</x:v>
      </x:c>
      <x:c r="M11" s="25" t="n">
        <x:f>IFERROR((L11-I11)/I11,0)</x:f>
        <x:v>0</x:v>
      </x:c>
      <x:c r="N11" s="17" t="str">
        <x:v>有效线索/激活</x:v>
      </x:c>
      <x:c r="O11" s="23" t="str">
        <x:v>计划中</x:v>
      </x:c>
      <x:c r="P11" s="23" t="str"/>
    </x:row>
    <x:row r="12" ht="44" customHeight="1">
      <x:c r="A12" s="17" t="str">
        <x:v>AB-07</x:v>
      </x:c>
      <x:c r="B12" s="17" t="str">
        <x:v>第一帧出现产品UI会提高主页访问但可能降低完播</x:v>
      </x:c>
      <x:c r="C12" s="17" t="str">
        <x:v>品牌露出</x:v>
      </x:c>
      <x:c r="D12" s="17" t="str">
        <x:v>全部</x:v>
      </x:c>
      <x:c r="E12" s="17" t="str">
        <x:v>小红书</x:v>
      </x:c>
      <x:c r="F12" s="22" t="n">
        <x:v>46272</x:v>
      </x:c>
      <x:c r="G12" s="17" t="str">
        <x:v>前2页弱露出</x:v>
      </x:c>
      <x:c r="H12" s="23" t="n">
        <x:v>0</x:v>
      </x:c>
      <x:c r="I12" s="29" t="n">
        <x:v>0</x:v>
      </x:c>
      <x:c r="J12" s="23" t="str">
        <x:v>首屏真实UI</x:v>
      </x:c>
      <x:c r="K12" s="23" t="n">
        <x:v>0</x:v>
      </x:c>
      <x:c r="L12" s="29" t="n">
        <x:v>0</x:v>
      </x:c>
      <x:c r="M12" s="25" t="n">
        <x:f>IFERROR((L12-I12)/I12,0)</x:f>
        <x:v>0</x:v>
      </x:c>
      <x:c r="N12" s="17" t="str">
        <x:v>完播/主页访问</x:v>
      </x:c>
      <x:c r="O12" s="23" t="str">
        <x:v>计划中</x:v>
      </x:c>
      <x:c r="P12" s="23" t="str"/>
    </x:row>
    <x:row r="13" ht="44" customHeight="1">
      <x:c r="A13" s="17" t="str">
        <x:v>AB-08</x:v>
      </x:c>
      <x:c r="B13" s="17" t="str">
        <x:v>清单封面与结论封面对搜索内容表现不同</x:v>
      </x:c>
      <x:c r="C13" s="17" t="str">
        <x:v>封面信息</x:v>
      </x:c>
      <x:c r="D13" s="17" t="str">
        <x:v>全部</x:v>
      </x:c>
      <x:c r="E13" s="17" t="str">
        <x:v>小红书</x:v>
      </x:c>
      <x:c r="F13" s="22" t="n">
        <x:v>46275</x:v>
      </x:c>
      <x:c r="G13" s="17" t="str">
        <x:v>三点清单</x:v>
      </x:c>
      <x:c r="H13" s="23" t="n">
        <x:v>0</x:v>
      </x:c>
      <x:c r="I13" s="29" t="n">
        <x:v>0</x:v>
      </x:c>
      <x:c r="J13" s="23" t="str">
        <x:v>一个结论</x:v>
      </x:c>
      <x:c r="K13" s="23" t="n">
        <x:v>0</x:v>
      </x:c>
      <x:c r="L13" s="29" t="n">
        <x:v>0</x:v>
      </x:c>
      <x:c r="M13" s="25" t="n">
        <x:f>IFERROR((L13-I13)/I13,0)</x:f>
        <x:v>0</x:v>
      </x:c>
      <x:c r="N13" s="17" t="str">
        <x:v>阅读/收藏</x:v>
      </x:c>
      <x:c r="O13" s="23" t="str">
        <x:v>计划中</x:v>
      </x:c>
      <x:c r="P13" s="23" t="str"/>
    </x:row>
  </x:sheetData>
  <x:mergeCells>
    <x:mergeCell ref="A1:P1"/>
    <x:mergeCell ref="A2:P2"/>
  </x:mergeCells>
  <x:dataValidations count="1">
    <x:dataValidation type="list" sqref="O6:O13">
      <x:formula1>"计划中,运行中,已完成,无结论,停止"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23d4a662161421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2" hidden="0" customWidth="1"/>
    <x:col min="4" max="4" width="13" hidden="0" customWidth="1"/>
    <x:col min="5" max="5" width="13" hidden="0" customWidth="1"/>
    <x:col min="7" max="7" width="13" hidden="0" customWidth="1"/>
    <x:col min="8" max="8" width="13" hidden="0" customWidth="1"/>
    <x:col min="10" max="10" width="13" hidden="0" customWidth="1"/>
    <x:col min="11" max="11" width="13" hidden="0" customWidth="1"/>
  </x:cols>
  <x:sheetData>
    <x:row r="1" ht="34" customHeight="1">
      <x:c r="A1" s="3" t="str">
        <x:v>30天运营总览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 ht="34" customHeight="1">
      <x:c r="A2" s="7" t="str">
        <x:v>公式引用“日数据”；当前输入为0，不代表真实业绩。先补录平台和产品数据，再用于决策。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</x:row>
    <x:row r="5">
      <x:c r="A5" s="32" t="str">
        <x:v>30天花费</x:v>
      </x:c>
      <x:c r="B5" s="32"/>
      <x:c r="D5" s="32" t="str">
        <x:v>曝光</x:v>
      </x:c>
      <x:c r="E5" s="32"/>
      <x:c r="G5" s="32" t="str">
        <x:v>阅读/播放</x:v>
      </x:c>
      <x:c r="H5" s="32"/>
      <x:c r="J5" s="32" t="str">
        <x:v>互动量</x:v>
      </x:c>
      <x:c r="K5" s="32"/>
    </x:row>
    <x:row r="6">
      <x:c r="A6" s="60" t="n">
        <x:f>SUM('日数据'!D6:D35)</x:f>
        <x:v>0</x:v>
      </x:c>
      <x:c r="B6" s="61"/>
      <x:c r="D6" s="42" t="n">
        <x:f>SUM('日数据'!E6:E35)</x:f>
        <x:v>0</x:v>
      </x:c>
      <x:c r="E6" s="43"/>
      <x:c r="G6" s="42" t="n">
        <x:f>SUM('日数据'!F6:F35)</x:f>
        <x:v>0</x:v>
      </x:c>
      <x:c r="H6" s="43"/>
      <x:c r="J6" s="42" t="n">
        <x:f>SUM('日数据'!W6:W35)</x:f>
        <x:v>0</x:v>
      </x:c>
      <x:c r="K6" s="43"/>
    </x:row>
    <x:row r="7">
      <x:c r="A7" s="62"/>
      <x:c r="B7" s="63"/>
      <x:c r="D7" s="44"/>
      <x:c r="E7" s="45"/>
      <x:c r="G7" s="44"/>
      <x:c r="H7" s="45"/>
      <x:c r="J7" s="44"/>
      <x:c r="K7" s="45"/>
    </x:row>
    <x:row r="9">
      <x:c r="A9" s="32" t="str">
        <x:v>获客用户</x:v>
      </x:c>
      <x:c r="B9" s="32"/>
      <x:c r="D9" s="32" t="str">
        <x:v>激活用户</x:v>
      </x:c>
      <x:c r="E9" s="32"/>
      <x:c r="G9" s="32" t="str">
        <x:v>付费用户</x:v>
      </x:c>
      <x:c r="H9" s="32"/>
      <x:c r="J9" s="32" t="str">
        <x:v>收入</x:v>
      </x:c>
      <x:c r="K9" s="32"/>
    </x:row>
    <x:row r="10">
      <x:c r="A10" s="42" t="n">
        <x:f>SUM('日数据'!N6:N35)</x:f>
        <x:v>0</x:v>
      </x:c>
      <x:c r="B10" s="43"/>
      <x:c r="D10" s="42" t="n">
        <x:f>SUM('日数据'!O6:O35)</x:f>
        <x:v>0</x:v>
      </x:c>
      <x:c r="E10" s="43"/>
      <x:c r="G10" s="42" t="n">
        <x:f>SUM('日数据'!S6:S35)</x:f>
        <x:v>0</x:v>
      </x:c>
      <x:c r="H10" s="43"/>
      <x:c r="J10" s="60" t="n">
        <x:f>SUM('日数据'!T6:T35)</x:f>
        <x:v>0</x:v>
      </x:c>
      <x:c r="K10" s="61"/>
    </x:row>
    <x:row r="11">
      <x:c r="A11" s="44"/>
      <x:c r="B11" s="45"/>
      <x:c r="D11" s="44"/>
      <x:c r="E11" s="45"/>
      <x:c r="G11" s="44"/>
      <x:c r="H11" s="45"/>
      <x:c r="J11" s="62"/>
      <x:c r="K11" s="63"/>
    </x:row>
    <x:row r="13">
      <x:c r="A13" s="32" t="str">
        <x:v>互动率</x:v>
      </x:c>
      <x:c r="B13" s="32"/>
      <x:c r="D13" s="32" t="str">
        <x:v>主页访问率</x:v>
      </x:c>
      <x:c r="E13" s="32"/>
      <x:c r="G13" s="32" t="str">
        <x:v>首次激活率</x:v>
      </x:c>
      <x:c r="H13" s="32"/>
      <x:c r="J13" s="32" t="str">
        <x:v>D7第二岗位留存</x:v>
      </x:c>
      <x:c r="K13" s="32"/>
    </x:row>
    <x:row r="14">
      <x:c r="A14" s="64" t="n">
        <x:f>IFERROR(SUM('日数据'!W6:W35)/SUM('日数据'!F6:F35),0)</x:f>
        <x:v>0</x:v>
      </x:c>
      <x:c r="B14" s="65"/>
      <x:c r="C14" s="66"/>
      <x:c r="D14" s="64" t="n">
        <x:f>IFERROR(SUM('日数据'!L6:L35)/SUM('日数据'!F6:F35),0)</x:f>
        <x:v>0</x:v>
      </x:c>
      <x:c r="E14" s="65"/>
      <x:c r="F14" s="66"/>
      <x:c r="G14" s="64" t="n">
        <x:f>IFERROR(SUM('日数据'!O6:O35)/SUM('日数据'!N6:N35),0)</x:f>
        <x:v>0</x:v>
      </x:c>
      <x:c r="H14" s="65"/>
      <x:c r="I14" s="66"/>
      <x:c r="J14" s="64" t="n">
        <x:f>IFERROR(SUM('日数据'!U6:U35)/SUM('日数据'!O6:O35),0)</x:f>
        <x:v>0</x:v>
      </x:c>
      <x:c r="K14" s="65"/>
    </x:row>
    <x:row r="15">
      <x:c r="A15" s="67"/>
      <x:c r="B15" s="68"/>
      <x:c r="C15" s="66"/>
      <x:c r="D15" s="67"/>
      <x:c r="E15" s="68"/>
      <x:c r="F15" s="66"/>
      <x:c r="G15" s="67"/>
      <x:c r="H15" s="68"/>
      <x:c r="I15" s="66"/>
      <x:c r="J15" s="67"/>
      <x:c r="K15" s="68"/>
    </x:row>
    <x:row r="17">
      <x:c r="A17" s="32" t="str">
        <x:v>CAC</x:v>
      </x:c>
      <x:c r="B17" s="32"/>
      <x:c r="D17" s="32" t="str">
        <x:v>收入/花费</x:v>
      </x:c>
      <x:c r="E17" s="32"/>
      <x:c r="G17" s="32" t="str">
        <x:v>付费率</x:v>
      </x:c>
      <x:c r="H17" s="32"/>
      <x:c r="J17" s="32" t="str">
        <x:v>D30第二岗位留存</x:v>
      </x:c>
      <x:c r="K17" s="32"/>
    </x:row>
    <x:row r="18">
      <x:c r="A18" s="69" t="n">
        <x:f>IFERROR(SUM('日数据'!D6:D35)/SUM('日数据'!N6:N35),0)</x:f>
        <x:v>0</x:v>
      </x:c>
      <x:c r="B18" s="70"/>
      <x:c r="D18" s="64" t="n">
        <x:f>IFERROR(SUM('日数据'!T6:T35)/SUM('日数据'!D6:D35),0)</x:f>
        <x:v>0</x:v>
      </x:c>
      <x:c r="E18" s="65"/>
      <x:c r="F18" s="66"/>
      <x:c r="G18" s="64" t="n">
        <x:f>IFERROR(SUM('日数据'!S6:S35)/SUM('日数据'!O6:O35),0)</x:f>
        <x:v>0</x:v>
      </x:c>
      <x:c r="H18" s="65"/>
      <x:c r="I18" s="66"/>
      <x:c r="J18" s="64" t="n">
        <x:f>IFERROR(SUM('日数据'!V6:V35)/SUM('日数据'!O6:O35),0)</x:f>
        <x:v>0</x:v>
      </x:c>
      <x:c r="K18" s="65"/>
    </x:row>
    <x:row r="19">
      <x:c r="A19" s="71"/>
      <x:c r="B19" s="72"/>
      <x:c r="D19" s="67"/>
      <x:c r="E19" s="68"/>
      <x:c r="F19" s="66"/>
      <x:c r="G19" s="67"/>
      <x:c r="H19" s="68"/>
      <x:c r="I19" s="66"/>
      <x:c r="J19" s="67"/>
      <x:c r="K19" s="68"/>
    </x:row>
    <x:row r="22">
      <x:c r="A22" s="75" t="str">
        <x:v>日期</x:v>
      </x:c>
      <x:c r="B22" s="75" t="str">
        <x:v>曝光</x:v>
      </x:c>
      <x:c r="C22" s="75" t="str">
        <x:v>阅读</x:v>
      </x:c>
      <x:c r="D22" s="75" t="str">
        <x:v>获客</x:v>
      </x:c>
      <x:c r="E22" s="75" t="str">
        <x:v>激活</x:v>
      </x:c>
      <x:c r="G22" s="75" t="str">
        <x:v>漏斗阶段</x:v>
      </x:c>
      <x:c r="H22" s="75" t="str">
        <x:v>30天总量</x:v>
      </x:c>
    </x:row>
    <x:row r="23">
      <x:c r="A23" s="76" t="str">
        <x:v>08-17</x:v>
      </x:c>
      <x:c r="B23" s="76" t="n">
        <x:f>'日数据'!E6</x:f>
        <x:v>0</x:v>
      </x:c>
      <x:c r="C23" s="76" t="n">
        <x:f>'日数据'!F6</x:f>
        <x:v>0</x:v>
      </x:c>
      <x:c r="D23" s="76" t="n">
        <x:f>'日数据'!N6</x:f>
        <x:v>0</x:v>
      </x:c>
      <x:c r="E23" s="76" t="n">
        <x:f>'日数据'!O6</x:f>
        <x:v>0</x:v>
      </x:c>
      <x:c r="G23" s="76" t="str">
        <x:v>阅读</x:v>
      </x:c>
      <x:c r="H23" s="76" t="n">
        <x:f>SUM('日数据'!F6:F35)</x:f>
        <x:v>0</x:v>
      </x:c>
    </x:row>
    <x:row r="24">
      <x:c r="A24" s="76" t="str">
        <x:v>08-18</x:v>
      </x:c>
      <x:c r="B24" s="76" t="n">
        <x:f>'日数据'!E7</x:f>
        <x:v>0</x:v>
      </x:c>
      <x:c r="C24" s="76" t="n">
        <x:f>'日数据'!F7</x:f>
        <x:v>0</x:v>
      </x:c>
      <x:c r="D24" s="76" t="n">
        <x:f>'日数据'!N7</x:f>
        <x:v>0</x:v>
      </x:c>
      <x:c r="E24" s="76" t="n">
        <x:f>'日数据'!O7</x:f>
        <x:v>0</x:v>
      </x:c>
      <x:c r="G24" s="76" t="str">
        <x:v>主页访问</x:v>
      </x:c>
      <x:c r="H24" s="76" t="n">
        <x:f>SUM('日数据'!L6:L35)</x:f>
        <x:v>0</x:v>
      </x:c>
    </x:row>
    <x:row r="25">
      <x:c r="A25" s="76" t="str">
        <x:v>08-19</x:v>
      </x:c>
      <x:c r="B25" s="76" t="n">
        <x:f>'日数据'!E8</x:f>
        <x:v>0</x:v>
      </x:c>
      <x:c r="C25" s="76" t="n">
        <x:f>'日数据'!F8</x:f>
        <x:v>0</x:v>
      </x:c>
      <x:c r="D25" s="76" t="n">
        <x:f>'日数据'!N8</x:f>
        <x:v>0</x:v>
      </x:c>
      <x:c r="E25" s="76" t="n">
        <x:f>'日数据'!O8</x:f>
        <x:v>0</x:v>
      </x:c>
      <x:c r="G25" s="76" t="str">
        <x:v>有效线索</x:v>
      </x:c>
      <x:c r="H25" s="76" t="n">
        <x:f>SUM('日数据'!M6:M35)</x:f>
        <x:v>0</x:v>
      </x:c>
    </x:row>
    <x:row r="26">
      <x:c r="A26" s="76" t="str">
        <x:v>08-20</x:v>
      </x:c>
      <x:c r="B26" s="76" t="n">
        <x:f>'日数据'!E9</x:f>
        <x:v>0</x:v>
      </x:c>
      <x:c r="C26" s="76" t="n">
        <x:f>'日数据'!F9</x:f>
        <x:v>0</x:v>
      </x:c>
      <x:c r="D26" s="76" t="n">
        <x:f>'日数据'!N9</x:f>
        <x:v>0</x:v>
      </x:c>
      <x:c r="E26" s="76" t="n">
        <x:f>'日数据'!O9</x:f>
        <x:v>0</x:v>
      </x:c>
      <x:c r="G26" s="76" t="str">
        <x:v>获客</x:v>
      </x:c>
      <x:c r="H26" s="76" t="n">
        <x:f>SUM('日数据'!N6:N35)</x:f>
        <x:v>0</x:v>
      </x:c>
    </x:row>
    <x:row r="27">
      <x:c r="A27" s="76" t="str">
        <x:v>08-21</x:v>
      </x:c>
      <x:c r="B27" s="76" t="n">
        <x:f>'日数据'!E10</x:f>
        <x:v>0</x:v>
      </x:c>
      <x:c r="C27" s="76" t="n">
        <x:f>'日数据'!F10</x:f>
        <x:v>0</x:v>
      </x:c>
      <x:c r="D27" s="76" t="n">
        <x:f>'日数据'!N10</x:f>
        <x:v>0</x:v>
      </x:c>
      <x:c r="E27" s="76" t="n">
        <x:f>'日数据'!O10</x:f>
        <x:v>0</x:v>
      </x:c>
      <x:c r="G27" s="76" t="str">
        <x:v>激活</x:v>
      </x:c>
      <x:c r="H27" s="76" t="n">
        <x:f>SUM('日数据'!O6:O35)</x:f>
        <x:v>0</x:v>
      </x:c>
    </x:row>
    <x:row r="28">
      <x:c r="A28" s="76" t="str">
        <x:v>08-22</x:v>
      </x:c>
      <x:c r="B28" s="76" t="n">
        <x:f>'日数据'!E11</x:f>
        <x:v>0</x:v>
      </x:c>
      <x:c r="C28" s="76" t="n">
        <x:f>'日数据'!F11</x:f>
        <x:v>0</x:v>
      </x:c>
      <x:c r="D28" s="76" t="n">
        <x:f>'日数据'!N11</x:f>
        <x:v>0</x:v>
      </x:c>
      <x:c r="E28" s="76" t="n">
        <x:f>'日数据'!O11</x:f>
        <x:v>0</x:v>
      </x:c>
      <x:c r="G28" s="76" t="str">
        <x:v>付费</x:v>
      </x:c>
      <x:c r="H28" s="76" t="n">
        <x:f>SUM('日数据'!S6:S35)</x:f>
        <x:v>0</x:v>
      </x:c>
    </x:row>
    <x:row r="29">
      <x:c r="A29" s="76" t="str">
        <x:v>08-23</x:v>
      </x:c>
      <x:c r="B29" s="76" t="n">
        <x:f>'日数据'!E12</x:f>
        <x:v>0</x:v>
      </x:c>
      <x:c r="C29" s="76" t="n">
        <x:f>'日数据'!F12</x:f>
        <x:v>0</x:v>
      </x:c>
      <x:c r="D29" s="76" t="n">
        <x:f>'日数据'!N12</x:f>
        <x:v>0</x:v>
      </x:c>
      <x:c r="E29" s="76" t="n">
        <x:f>'日数据'!O12</x:f>
        <x:v>0</x:v>
      </x:c>
    </x:row>
    <x:row r="30">
      <x:c r="A30" s="76" t="str">
        <x:v>08-24</x:v>
      </x:c>
      <x:c r="B30" s="76" t="n">
        <x:f>'日数据'!E13</x:f>
        <x:v>0</x:v>
      </x:c>
      <x:c r="C30" s="76" t="n">
        <x:f>'日数据'!F13</x:f>
        <x:v>0</x:v>
      </x:c>
      <x:c r="D30" s="76" t="n">
        <x:f>'日数据'!N13</x:f>
        <x:v>0</x:v>
      </x:c>
      <x:c r="E30" s="76" t="n">
        <x:f>'日数据'!O13</x:f>
        <x:v>0</x:v>
      </x:c>
    </x:row>
    <x:row r="31">
      <x:c r="A31" s="76" t="str">
        <x:v>08-25</x:v>
      </x:c>
      <x:c r="B31" s="76" t="n">
        <x:f>'日数据'!E14</x:f>
        <x:v>0</x:v>
      </x:c>
      <x:c r="C31" s="76" t="n">
        <x:f>'日数据'!F14</x:f>
        <x:v>0</x:v>
      </x:c>
      <x:c r="D31" s="76" t="n">
        <x:f>'日数据'!N14</x:f>
        <x:v>0</x:v>
      </x:c>
      <x:c r="E31" s="76" t="n">
        <x:f>'日数据'!O14</x:f>
        <x:v>0</x:v>
      </x:c>
    </x:row>
    <x:row r="32">
      <x:c r="A32" s="76" t="str">
        <x:v>08-26</x:v>
      </x:c>
      <x:c r="B32" s="76" t="n">
        <x:f>'日数据'!E15</x:f>
        <x:v>0</x:v>
      </x:c>
      <x:c r="C32" s="76" t="n">
        <x:f>'日数据'!F15</x:f>
        <x:v>0</x:v>
      </x:c>
      <x:c r="D32" s="76" t="n">
        <x:f>'日数据'!N15</x:f>
        <x:v>0</x:v>
      </x:c>
      <x:c r="E32" s="76" t="n">
        <x:f>'日数据'!O15</x:f>
        <x:v>0</x:v>
      </x:c>
    </x:row>
    <x:row r="33">
      <x:c r="A33" s="76" t="str">
        <x:v>08-27</x:v>
      </x:c>
      <x:c r="B33" s="76" t="n">
        <x:f>'日数据'!E16</x:f>
        <x:v>0</x:v>
      </x:c>
      <x:c r="C33" s="76" t="n">
        <x:f>'日数据'!F16</x:f>
        <x:v>0</x:v>
      </x:c>
      <x:c r="D33" s="76" t="n">
        <x:f>'日数据'!N16</x:f>
        <x:v>0</x:v>
      </x:c>
      <x:c r="E33" s="76" t="n">
        <x:f>'日数据'!O16</x:f>
        <x:v>0</x:v>
      </x:c>
    </x:row>
    <x:row r="34">
      <x:c r="A34" s="76" t="str">
        <x:v>08-28</x:v>
      </x:c>
      <x:c r="B34" s="76" t="n">
        <x:f>'日数据'!E17</x:f>
        <x:v>0</x:v>
      </x:c>
      <x:c r="C34" s="76" t="n">
        <x:f>'日数据'!F17</x:f>
        <x:v>0</x:v>
      </x:c>
      <x:c r="D34" s="76" t="n">
        <x:f>'日数据'!N17</x:f>
        <x:v>0</x:v>
      </x:c>
      <x:c r="E34" s="76" t="n">
        <x:f>'日数据'!O17</x:f>
        <x:v>0</x:v>
      </x:c>
    </x:row>
    <x:row r="35">
      <x:c r="A35" s="76" t="str">
        <x:v>08-29</x:v>
      </x:c>
      <x:c r="B35" s="76" t="n">
        <x:f>'日数据'!E18</x:f>
        <x:v>0</x:v>
      </x:c>
      <x:c r="C35" s="76" t="n">
        <x:f>'日数据'!F18</x:f>
        <x:v>0</x:v>
      </x:c>
      <x:c r="D35" s="76" t="n">
        <x:f>'日数据'!N18</x:f>
        <x:v>0</x:v>
      </x:c>
      <x:c r="E35" s="76" t="n">
        <x:f>'日数据'!O18</x:f>
        <x:v>0</x:v>
      </x:c>
    </x:row>
    <x:row r="36">
      <x:c r="A36" s="76" t="str">
        <x:v>08-30</x:v>
      </x:c>
      <x:c r="B36" s="76" t="n">
        <x:f>'日数据'!E19</x:f>
        <x:v>0</x:v>
      </x:c>
      <x:c r="C36" s="76" t="n">
        <x:f>'日数据'!F19</x:f>
        <x:v>0</x:v>
      </x:c>
      <x:c r="D36" s="76" t="n">
        <x:f>'日数据'!N19</x:f>
        <x:v>0</x:v>
      </x:c>
      <x:c r="E36" s="76" t="n">
        <x:f>'日数据'!O19</x:f>
        <x:v>0</x:v>
      </x:c>
    </x:row>
    <x:row r="37">
      <x:c r="A37" s="76" t="str">
        <x:v>08-31</x:v>
      </x:c>
      <x:c r="B37" s="76" t="n">
        <x:f>'日数据'!E20</x:f>
        <x:v>0</x:v>
      </x:c>
      <x:c r="C37" s="76" t="n">
        <x:f>'日数据'!F20</x:f>
        <x:v>0</x:v>
      </x:c>
      <x:c r="D37" s="76" t="n">
        <x:f>'日数据'!N20</x:f>
        <x:v>0</x:v>
      </x:c>
      <x:c r="E37" s="76" t="n">
        <x:f>'日数据'!O20</x:f>
        <x:v>0</x:v>
      </x:c>
    </x:row>
    <x:row r="38">
      <x:c r="A38" s="76" t="str">
        <x:v>09-01</x:v>
      </x:c>
      <x:c r="B38" s="76" t="n">
        <x:f>'日数据'!E21</x:f>
        <x:v>0</x:v>
      </x:c>
      <x:c r="C38" s="76" t="n">
        <x:f>'日数据'!F21</x:f>
        <x:v>0</x:v>
      </x:c>
      <x:c r="D38" s="76" t="n">
        <x:f>'日数据'!N21</x:f>
        <x:v>0</x:v>
      </x:c>
      <x:c r="E38" s="76" t="n">
        <x:f>'日数据'!O21</x:f>
        <x:v>0</x:v>
      </x:c>
    </x:row>
    <x:row r="39">
      <x:c r="A39" s="76" t="str">
        <x:v>09-02</x:v>
      </x:c>
      <x:c r="B39" s="76" t="n">
        <x:f>'日数据'!E22</x:f>
        <x:v>0</x:v>
      </x:c>
      <x:c r="C39" s="76" t="n">
        <x:f>'日数据'!F22</x:f>
        <x:v>0</x:v>
      </x:c>
      <x:c r="D39" s="76" t="n">
        <x:f>'日数据'!N22</x:f>
        <x:v>0</x:v>
      </x:c>
      <x:c r="E39" s="76" t="n">
        <x:f>'日数据'!O22</x:f>
        <x:v>0</x:v>
      </x:c>
    </x:row>
    <x:row r="40">
      <x:c r="A40" s="76" t="str">
        <x:v>09-03</x:v>
      </x:c>
      <x:c r="B40" s="76" t="n">
        <x:f>'日数据'!E23</x:f>
        <x:v>0</x:v>
      </x:c>
      <x:c r="C40" s="76" t="n">
        <x:f>'日数据'!F23</x:f>
        <x:v>0</x:v>
      </x:c>
      <x:c r="D40" s="76" t="n">
        <x:f>'日数据'!N23</x:f>
        <x:v>0</x:v>
      </x:c>
      <x:c r="E40" s="76" t="n">
        <x:f>'日数据'!O23</x:f>
        <x:v>0</x:v>
      </x:c>
    </x:row>
    <x:row r="41">
      <x:c r="A41" s="76" t="str">
        <x:v>09-04</x:v>
      </x:c>
      <x:c r="B41" s="76" t="n">
        <x:f>'日数据'!E24</x:f>
        <x:v>0</x:v>
      </x:c>
      <x:c r="C41" s="76" t="n">
        <x:f>'日数据'!F24</x:f>
        <x:v>0</x:v>
      </x:c>
      <x:c r="D41" s="76" t="n">
        <x:f>'日数据'!N24</x:f>
        <x:v>0</x:v>
      </x:c>
      <x:c r="E41" s="76" t="n">
        <x:f>'日数据'!O24</x:f>
        <x:v>0</x:v>
      </x:c>
    </x:row>
    <x:row r="42">
      <x:c r="A42" s="76" t="str">
        <x:v>09-05</x:v>
      </x:c>
      <x:c r="B42" s="76" t="n">
        <x:f>'日数据'!E25</x:f>
        <x:v>0</x:v>
      </x:c>
      <x:c r="C42" s="76" t="n">
        <x:f>'日数据'!F25</x:f>
        <x:v>0</x:v>
      </x:c>
      <x:c r="D42" s="76" t="n">
        <x:f>'日数据'!N25</x:f>
        <x:v>0</x:v>
      </x:c>
      <x:c r="E42" s="76" t="n">
        <x:f>'日数据'!O25</x:f>
        <x:v>0</x:v>
      </x:c>
    </x:row>
    <x:row r="43">
      <x:c r="A43" s="76" t="str">
        <x:v>09-06</x:v>
      </x:c>
      <x:c r="B43" s="76" t="n">
        <x:f>'日数据'!E26</x:f>
        <x:v>0</x:v>
      </x:c>
      <x:c r="C43" s="76" t="n">
        <x:f>'日数据'!F26</x:f>
        <x:v>0</x:v>
      </x:c>
      <x:c r="D43" s="76" t="n">
        <x:f>'日数据'!N26</x:f>
        <x:v>0</x:v>
      </x:c>
      <x:c r="E43" s="76" t="n">
        <x:f>'日数据'!O26</x:f>
        <x:v>0</x:v>
      </x:c>
    </x:row>
    <x:row r="44">
      <x:c r="A44" s="76" t="str">
        <x:v>09-07</x:v>
      </x:c>
      <x:c r="B44" s="76" t="n">
        <x:f>'日数据'!E27</x:f>
        <x:v>0</x:v>
      </x:c>
      <x:c r="C44" s="76" t="n">
        <x:f>'日数据'!F27</x:f>
        <x:v>0</x:v>
      </x:c>
      <x:c r="D44" s="76" t="n">
        <x:f>'日数据'!N27</x:f>
        <x:v>0</x:v>
      </x:c>
      <x:c r="E44" s="76" t="n">
        <x:f>'日数据'!O27</x:f>
        <x:v>0</x:v>
      </x:c>
    </x:row>
    <x:row r="45">
      <x:c r="A45" s="76" t="str">
        <x:v>09-08</x:v>
      </x:c>
      <x:c r="B45" s="76" t="n">
        <x:f>'日数据'!E28</x:f>
        <x:v>0</x:v>
      </x:c>
      <x:c r="C45" s="76" t="n">
        <x:f>'日数据'!F28</x:f>
        <x:v>0</x:v>
      </x:c>
      <x:c r="D45" s="76" t="n">
        <x:f>'日数据'!N28</x:f>
        <x:v>0</x:v>
      </x:c>
      <x:c r="E45" s="76" t="n">
        <x:f>'日数据'!O28</x:f>
        <x:v>0</x:v>
      </x:c>
    </x:row>
    <x:row r="46">
      <x:c r="A46" s="76" t="str">
        <x:v>09-09</x:v>
      </x:c>
      <x:c r="B46" s="76" t="n">
        <x:f>'日数据'!E29</x:f>
        <x:v>0</x:v>
      </x:c>
      <x:c r="C46" s="76" t="n">
        <x:f>'日数据'!F29</x:f>
        <x:v>0</x:v>
      </x:c>
      <x:c r="D46" s="76" t="n">
        <x:f>'日数据'!N29</x:f>
        <x:v>0</x:v>
      </x:c>
      <x:c r="E46" s="76" t="n">
        <x:f>'日数据'!O29</x:f>
        <x:v>0</x:v>
      </x:c>
    </x:row>
    <x:row r="47">
      <x:c r="A47" s="76" t="str">
        <x:v>09-10</x:v>
      </x:c>
      <x:c r="B47" s="76" t="n">
        <x:f>'日数据'!E30</x:f>
        <x:v>0</x:v>
      </x:c>
      <x:c r="C47" s="76" t="n">
        <x:f>'日数据'!F30</x:f>
        <x:v>0</x:v>
      </x:c>
      <x:c r="D47" s="76" t="n">
        <x:f>'日数据'!N30</x:f>
        <x:v>0</x:v>
      </x:c>
      <x:c r="E47" s="76" t="n">
        <x:f>'日数据'!O30</x:f>
        <x:v>0</x:v>
      </x:c>
    </x:row>
    <x:row r="48">
      <x:c r="A48" s="76" t="str">
        <x:v>09-11</x:v>
      </x:c>
      <x:c r="B48" s="76" t="n">
        <x:f>'日数据'!E31</x:f>
        <x:v>0</x:v>
      </x:c>
      <x:c r="C48" s="76" t="n">
        <x:f>'日数据'!F31</x:f>
        <x:v>0</x:v>
      </x:c>
      <x:c r="D48" s="76" t="n">
        <x:f>'日数据'!N31</x:f>
        <x:v>0</x:v>
      </x:c>
      <x:c r="E48" s="76" t="n">
        <x:f>'日数据'!O31</x:f>
        <x:v>0</x:v>
      </x:c>
    </x:row>
    <x:row r="49">
      <x:c r="A49" s="76" t="str">
        <x:v>09-12</x:v>
      </x:c>
      <x:c r="B49" s="76" t="n">
        <x:f>'日数据'!E32</x:f>
        <x:v>0</x:v>
      </x:c>
      <x:c r="C49" s="76" t="n">
        <x:f>'日数据'!F32</x:f>
        <x:v>0</x:v>
      </x:c>
      <x:c r="D49" s="76" t="n">
        <x:f>'日数据'!N32</x:f>
        <x:v>0</x:v>
      </x:c>
      <x:c r="E49" s="76" t="n">
        <x:f>'日数据'!O32</x:f>
        <x:v>0</x:v>
      </x:c>
    </x:row>
    <x:row r="50">
      <x:c r="A50" s="76" t="str">
        <x:v>09-13</x:v>
      </x:c>
      <x:c r="B50" s="76" t="n">
        <x:f>'日数据'!E33</x:f>
        <x:v>0</x:v>
      </x:c>
      <x:c r="C50" s="76" t="n">
        <x:f>'日数据'!F33</x:f>
        <x:v>0</x:v>
      </x:c>
      <x:c r="D50" s="76" t="n">
        <x:f>'日数据'!N33</x:f>
        <x:v>0</x:v>
      </x:c>
      <x:c r="E50" s="76" t="n">
        <x:f>'日数据'!O33</x:f>
        <x:v>0</x:v>
      </x:c>
    </x:row>
    <x:row r="51">
      <x:c r="A51" s="76" t="str">
        <x:v>09-14</x:v>
      </x:c>
      <x:c r="B51" s="76" t="n">
        <x:f>'日数据'!E34</x:f>
        <x:v>0</x:v>
      </x:c>
      <x:c r="C51" s="76" t="n">
        <x:f>'日数据'!F34</x:f>
        <x:v>0</x:v>
      </x:c>
      <x:c r="D51" s="76" t="n">
        <x:f>'日数据'!N34</x:f>
        <x:v>0</x:v>
      </x:c>
      <x:c r="E51" s="76" t="n">
        <x:f>'日数据'!O34</x:f>
        <x:v>0</x:v>
      </x:c>
    </x:row>
    <x:row r="52">
      <x:c r="A52" s="76" t="str">
        <x:v>09-15</x:v>
      </x:c>
      <x:c r="B52" s="76" t="n">
        <x:f>'日数据'!E35</x:f>
        <x:v>0</x:v>
      </x:c>
      <x:c r="C52" s="76" t="n">
        <x:f>'日数据'!F35</x:f>
        <x:v>0</x:v>
      </x:c>
      <x:c r="D52" s="76" t="n">
        <x:f>'日数据'!N35</x:f>
        <x:v>0</x:v>
      </x:c>
      <x:c r="E52" s="76" t="n">
        <x:f>'日数据'!O35</x:f>
        <x:v>0</x:v>
      </x:c>
    </x:row>
    <x:row r="54">
      <x:c r="A54" s="21" t="str">
        <x:v>数据解释：当前所有输入为0，图表为空是正常状态。接入埋点前，只能分析平台内容数据；产品激活、第二岗位、付费和留存必须标“数据不完整”。</x:v>
      </x:c>
      <x:c r="B54" s="21"/>
      <x:c r="C54" s="21"/>
      <x:c r="D54" s="21"/>
      <x:c r="E54" s="21"/>
      <x:c r="F54" s="21"/>
      <x:c r="G54" s="21"/>
      <x:c r="H54" s="21"/>
      <x:c r="I54" s="21"/>
      <x:c r="J54" s="21"/>
      <x:c r="K54" s="21"/>
    </x:row>
    <x:row r="55">
      <x:c r="A55" s="21"/>
      <x:c r="B55" s="21"/>
      <x:c r="C55" s="21"/>
      <x:c r="D55" s="21"/>
      <x:c r="E55" s="21"/>
      <x:c r="F55" s="21"/>
      <x:c r="G55" s="21"/>
      <x:c r="H55" s="21"/>
      <x:c r="I55" s="21"/>
      <x:c r="J55" s="21"/>
      <x:c r="K55" s="21"/>
    </x:row>
  </x:sheetData>
  <x:mergeCells>
    <x:mergeCell ref="A1:T1"/>
    <x:mergeCell ref="A2:T2"/>
    <x:mergeCell ref="A5:B5"/>
    <x:mergeCell ref="A6:B7"/>
    <x:mergeCell ref="D5:E5"/>
    <x:mergeCell ref="D6:E7"/>
    <x:mergeCell ref="G5:H5"/>
    <x:mergeCell ref="G6:H7"/>
    <x:mergeCell ref="J5:K5"/>
    <x:mergeCell ref="J6:K7"/>
    <x:mergeCell ref="A9:B9"/>
    <x:mergeCell ref="A10:B11"/>
    <x:mergeCell ref="D9:E9"/>
    <x:mergeCell ref="D10:E11"/>
    <x:mergeCell ref="G9:H9"/>
    <x:mergeCell ref="G10:H11"/>
    <x:mergeCell ref="J9:K9"/>
    <x:mergeCell ref="J10:K11"/>
    <x:mergeCell ref="A13:B13"/>
    <x:mergeCell ref="A14:B15"/>
    <x:mergeCell ref="D13:E13"/>
    <x:mergeCell ref="D14:E15"/>
    <x:mergeCell ref="G13:H13"/>
    <x:mergeCell ref="G14:H15"/>
    <x:mergeCell ref="J13:K13"/>
    <x:mergeCell ref="J14:K15"/>
    <x:mergeCell ref="A17:B17"/>
    <x:mergeCell ref="A18:B19"/>
    <x:mergeCell ref="D17:E17"/>
    <x:mergeCell ref="D18:E19"/>
    <x:mergeCell ref="G17:H17"/>
    <x:mergeCell ref="G18:H19"/>
    <x:mergeCell ref="J17:K17"/>
    <x:mergeCell ref="J18:K19"/>
    <x:mergeCell ref="A54:K55"/>
  </x:mergeCells>
  <x:pageMargins left="0.7" right="0.7" top="0.75" bottom="0.75" header="0.3" footer="0.3"/>
  <x:drawing xmlns:r="http://schemas.openxmlformats.org/officeDocument/2006/relationships" r:id="Rfd6804b3384f4fa0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8" hidden="0" customWidth="1"/>
    <x:col min="3" max="3" width="14" hidden="0" customWidth="1"/>
    <x:col min="4" max="4" width="18" hidden="0" customWidth="1"/>
    <x:col min="5" max="5" width="46" hidden="0" customWidth="1"/>
    <x:col min="6" max="6" width="58" hidden="0" customWidth="1"/>
  </x:cols>
  <x:sheetData>
    <x:row r="1" ht="34" customHeight="1">
      <x:c r="A1" s="3" t="str">
        <x:v>来源与检索日期</x:v>
      </x:c>
      <x:c r="B1" s="3"/>
      <x:c r="C1" s="3"/>
      <x:c r="D1" s="3"/>
      <x:c r="E1" s="3"/>
      <x:c r="F1" s="3"/>
    </x:row>
    <x:row r="2" ht="34" customHeight="1">
      <x:c r="A2" s="7" t="str">
        <x:v>所有实时规则、趋势与竞品信息检索于 2026-08-16；执行前应复核最新原文。</x:v>
      </x:c>
      <x:c r="B2" s="7"/>
      <x:c r="C2" s="7"/>
      <x:c r="D2" s="7"/>
      <x:c r="E2" s="7"/>
      <x:c r="F2" s="7"/>
    </x:row>
    <x:row r="5" ht="30" customHeight="1">
      <x:c r="A5" s="13" t="str">
        <x:v>来源ID</x:v>
      </x:c>
      <x:c r="B5" s="13" t="str">
        <x:v>来源</x:v>
      </x:c>
      <x:c r="C5" s="13" t="str">
        <x:v>类型</x:v>
      </x:c>
      <x:c r="D5" s="13" t="str">
        <x:v>页面/发布日期</x:v>
      </x:c>
      <x:c r="E5" s="13" t="str">
        <x:v>支持结论</x:v>
      </x:c>
      <x:c r="F5" s="13" t="str">
        <x:v>原始链接</x:v>
      </x:c>
    </x:row>
    <x:row r="6" ht="44" customHeight="1">
      <x:c r="A6" s="17" t="str">
        <x:v>S-01</x:v>
      </x:c>
      <x:c r="B6" s="17" t="str">
        <x:v>小红书开放平台</x:v>
      </x:c>
      <x:c r="C6" s="17" t="str">
        <x:v>官方</x:v>
      </x:c>
      <x:c r="D6" s="17" t="str">
        <x:v>访问于 2026-08-16</x:v>
      </x:c>
      <x:c r="E6" s="17" t="str">
        <x:v>约3亿月活、90% UGC、约3亿次日均搜索查询</x:v>
      </x:c>
      <x:c r="F6" s="77" t="str">
        <x:v>https://ad-market.xiaohongshu.com/</x:v>
      </x:c>
    </x:row>
    <x:row r="7" ht="44" customHeight="1">
      <x:c r="A7" s="17" t="str">
        <x:v>S-02</x:v>
      </x:c>
      <x:c r="B7" s="17" t="str">
        <x:v>小红书聚光《专业号认证规则规范》</x:v>
      </x:c>
      <x:c r="C7" s="17" t="str">
        <x:v>官方规则</x:v>
      </x:c>
      <x:c r="D7" s="17" t="str">
        <x:v>更新 2026-07-22</x:v>
      </x:c>
      <x:c r="E7" s="17" t="str">
        <x:v>企业专业号、命名、账号基础信息与导流限制</x:v>
      </x:c>
      <x:c r="F7" s="77" t="str">
        <x:v>https://ad.xiaohongshu.com/next_help/docs/195c5fe505c71b4b0335a2fe0d61d8e0</x:v>
      </x:c>
    </x:row>
    <x:row r="8" ht="44" customHeight="1">
      <x:c r="A8" s="17" t="str">
        <x:v>S-03</x:v>
      </x:c>
      <x:c r="B8" s="17" t="str">
        <x:v>小红书聚光《内容审核规则总则》</x:v>
      </x:c>
      <x:c r="C8" s="17" t="str">
        <x:v>官方规则</x:v>
      </x:c>
      <x:c r="D8" s="17" t="str">
        <x:v>更新 2026-03-23</x:v>
      </x:c>
      <x:c r="E8" s="17" t="str">
        <x:v>站外导流、诱导互动、夸张表述和物料审核</x:v>
      </x:c>
      <x:c r="F8" s="77" t="str">
        <x:v>https://ad.xiaohongshu.com/next_help/docs/8dc5bd9c45c9a90cb9912f3400d43f92</x:v>
      </x:c>
    </x:row>
    <x:row r="9" ht="44" customHeight="1">
      <x:c r="A9" s="17" t="str">
        <x:v>S-04</x:v>
      </x:c>
      <x:c r="B9" s="17" t="str">
        <x:v>小红书专业号平台</x:v>
      </x:c>
      <x:c r="C9" s="17" t="str">
        <x:v>官方</x:v>
      </x:c>
      <x:c r="D9" s="17" t="str">
        <x:v>访问于 2026-08-16</x:v>
      </x:c>
      <x:c r="E9" s="17" t="str">
        <x:v>数据洞察、主页管理、互动与推广能力</x:v>
      </x:c>
      <x:c r="F9" s="77" t="str">
        <x:v>https://pro.xiaohongshu.com/</x:v>
      </x:c>
    </x:row>
    <x:row r="10" ht="44" customHeight="1">
      <x:c r="A10" s="17" t="str">
        <x:v>S-05</x:v>
      </x:c>
      <x:c r="B10" s="17" t="str">
        <x:v>小红书2026校招趋势报告公开转载</x:v>
      </x:c>
      <x:c r="C10" s="17" t="str">
        <x:v>二手转载</x:v>
      </x:c>
      <x:c r="D10" s="17" t="str">
        <x:v>发布 2025-11-13</x:v>
      </x:c>
      <x:c r="E10" s="17" t="str">
        <x:v>岗位解读、简历攻略、面试技巧与求修改需求；上线前复核原报告</x:v>
      </x:c>
      <x:c r="F10" s="77" t="str">
        <x:v>https://www.sohu.com/a/953901756_121948640</x:v>
      </x:c>
    </x:row>
    <x:row r="11" ht="44" customHeight="1">
      <x:c r="A11" s="17" t="str">
        <x:v>S-06</x:v>
      </x:c>
      <x:c r="B11" s="17" t="str">
        <x:v>Neodrop小红书公开搜索样本</x:v>
      </x:c>
      <x:c r="C11" s="17" t="str">
        <x:v>第三方抽样</x:v>
      </x:c>
      <x:c r="D11" s="17" t="str">
        <x:v>发布 2026-07-15</x:v>
      </x:c>
      <x:c r="E11" s="17" t="str">
        <x:v>应届生简历、具体任务和简洁版式；不是官方热榜</x:v>
      </x:c>
      <x:c r="F11" s="77" t="str">
        <x:v>https://neodrop.ai/zh-cn/post/oj7t7C17zJR</x:v>
      </x:c>
    </x:row>
    <x:row r="12" ht="44" customHeight="1">
      <x:c r="A12" s="17" t="str">
        <x:v>S-07</x:v>
      </x:c>
      <x:c r="B12" s="17" t="str">
        <x:v>2025小红书内容营销攻略公开摘要</x:v>
      </x:c>
      <x:c r="C12" s="17" t="str">
        <x:v>第三方报告摘要</x:v>
      </x:c>
      <x:c r="D12" s="17" t="str">
        <x:v>访问于 2026-08-16</x:v>
      </x:c>
      <x:c r="E12" s="17" t="str">
        <x:v>清单、干货、教程、评测等实用内容形态</x:v>
      </x:c>
      <x:c r="F12" s="77" t="str">
        <x:v>https://www.fxbaogao.com/detail/4965172</x:v>
      </x:c>
    </x:row>
    <x:row r="13" ht="44" customHeight="1">
      <x:c r="A13" s="17" t="str">
        <x:v>S-08</x:v>
      </x:c>
      <x:c r="B13" s="17" t="str">
        <x:v>超级简历WonderCV官网</x:v>
      </x:c>
      <x:c r="C13" s="17" t="str">
        <x:v>竞品官方</x:v>
      </x:c>
      <x:c r="D13" s="17" t="str">
        <x:v>访问于 2026-08-16</x:v>
      </x:c>
      <x:c r="E13" s="17" t="str">
        <x:v>模板、AI生成/优化、JD定制与多端能力</x:v>
      </x:c>
      <x:c r="F13" s="77" t="str">
        <x:v>https://www.wondercv.com/</x:v>
      </x:c>
    </x:row>
    <x:row r="14" ht="44" customHeight="1">
      <x:c r="A14" s="17" t="str">
        <x:v>S-09</x:v>
      </x:c>
      <x:c r="B14" s="17" t="str">
        <x:v>超级简历人工服务页</x:v>
      </x:c>
      <x:c r="C14" s="17" t="str">
        <x:v>竞品官方</x:v>
      </x:c>
      <x:c r="D14" s="17" t="str">
        <x:v>访问于 2026-08-16</x:v>
      </x:c>
      <x:c r="E14" s="17" t="str">
        <x:v>人工简历、面试、职业咨询与代投替代方案</x:v>
      </x:c>
      <x:c r="F14" s="77" t="str">
        <x:v>https://www.wondercv.com/service/</x:v>
      </x:c>
    </x:row>
    <x:row r="15" ht="44" customHeight="1">
      <x:c r="A15" s="17" t="str">
        <x:v>S-10</x:v>
      </x:c>
      <x:c r="B15" s="17" t="str">
        <x:v>未来简历官网</x:v>
      </x:c>
      <x:c r="C15" s="17" t="str">
        <x:v>竞品官方</x:v>
      </x:c>
      <x:c r="D15" s="17" t="str">
        <x:v>访问于 2026-08-16</x:v>
      </x:c>
      <x:c r="E15" s="17" t="str">
        <x:v>AI定制、模板、质量评估与面试助手</x:v>
      </x:c>
      <x:c r="F15" s="77" t="str">
        <x:v>https://futurecv.cn/</x:v>
      </x:c>
    </x:row>
    <x:row r="16" ht="44" customHeight="1">
      <x:c r="A16" s="17" t="str">
        <x:v>S-11</x:v>
      </x:c>
      <x:c r="B16" s="17" t="str">
        <x:v>知页简历官网</x:v>
      </x:c>
      <x:c r="C16" s="17" t="str">
        <x:v>竞品官方</x:v>
      </x:c>
      <x:c r="D16" s="17" t="str">
        <x:v>访问于 2026-08-16</x:v>
      </x:c>
      <x:c r="E16" s="17" t="str">
        <x:v>模板、自动排版、AI诊断与移动编辑</x:v>
      </x:c>
      <x:c r="F16" s="77" t="str">
        <x:v>https://www.zhiyeapp.com/</x:v>
      </x:c>
    </x:row>
    <x:row r="17" ht="44" customHeight="1">
      <x:c r="A17" s="17" t="str">
        <x:v>S-12</x:v>
      </x:c>
      <x:c r="B17" s="17" t="str">
        <x:v>中华人民共和国广告法</x:v>
      </x:c>
      <x:c r="C17" s="17" t="str">
        <x:v>政府/法律</x:v>
      </x:c>
      <x:c r="D17" s="17" t="str">
        <x:v>现行有效页面，访问于 2026-08-16</x:v>
      </x:c>
      <x:c r="E17" s="17" t="str">
        <x:v>广告真实性、引证数据准确和来源要求</x:v>
      </x:c>
      <x:c r="F17" s="77" t="str">
        <x:v>https://www.samr.gov.cn/zw/zfxxgk/fdzdgknr/fgs/art/2023/art_5474cf75173c45d6a0379730fb4e8d97.html</x:v>
      </x:c>
    </x:row>
    <x:row r="18" ht="44" customHeight="1">
      <x:c r="A18" s="17" t="str">
        <x:v>S-13</x:v>
      </x:c>
      <x:c r="B18" s="17" t="str">
        <x:v>互联网广告管理办法</x:v>
      </x:c>
      <x:c r="C18" s="17" t="str">
        <x:v>政府/规章</x:v>
      </x:c>
      <x:c r="D18" s="17" t="str">
        <x:v>2023-05-01起施行</x:v>
      </x:c>
      <x:c r="E18" s="17" t="str">
        <x:v>互联网广告主体、真实性与档案要求</x:v>
      </x:c>
      <x:c r="F18" s="77" t="str">
        <x:v>https://www.samr.gov.cn/zw/zfxxgk/fdzdgknr/fgs/art/2023/art_d93a579afd45413e8576e4623fab348f.html</x:v>
      </x:c>
    </x:row>
    <x:row r="19" ht="44" customHeight="1">
      <x:c r="A19" s="17" t="str">
        <x:v>S-14</x:v>
      </x:c>
      <x:c r="B19" s="17" t="str">
        <x:v>人工智能生成合成内容标识办法</x:v>
      </x:c>
      <x:c r="C19" s="17" t="str">
        <x:v>政府/规章</x:v>
      </x:c>
      <x:c r="D19" s="17" t="str">
        <x:v>2025-09-01起施行</x:v>
      </x:c>
      <x:c r="E19" s="17" t="str">
        <x:v>AI内容显式/隐式标识与不得恶意删除篡改</x:v>
      </x:c>
      <x:c r="F19" s="77" t="str">
        <x:v>https://www.cac.gov.cn/2025-03/14/c_1743654685899683.htm</x:v>
      </x:c>
    </x:row>
    <x:row r="20" ht="44" customHeight="1">
      <x:c r="A20" s="17" t="str">
        <x:v>S-15</x:v>
      </x:c>
      <x:c r="B20" s="17" t="str">
        <x:v>中华人民共和国个人信息保护法</x:v>
      </x:c>
      <x:c r="C20" s="17" t="str">
        <x:v>政府/法律</x:v>
      </x:c>
      <x:c r="D20" s="17" t="str">
        <x:v>访问于 2026-08-16</x:v>
      </x:c>
      <x:c r="E20" s="17" t="str">
        <x:v>个人信息权益与处理基本要求</x:v>
      </x:c>
      <x:c r="F20" s="77" t="str">
        <x:v>https://www.miit.gov.cn/jgsj/zfs/fl/art/2022/art_515a4b20c12f430eab54bb4f56d89f56.html</x:v>
      </x:c>
    </x:row>
    <x:row r="21" ht="44" customHeight="1">
      <x:c r="A21" s="17" t="str">
        <x:v>S-16</x:v>
      </x:c>
      <x:c r="B21" s="17" t="str">
        <x:v>生成式人工智能服务管理暂行办法</x:v>
      </x:c>
      <x:c r="C21" s="17" t="str">
        <x:v>政府/规章</x:v>
      </x:c>
      <x:c r="D21" s="17" t="str">
        <x:v>2023-08-15起施行</x:v>
      </x:c>
      <x:c r="E21" s="17" t="str">
        <x:v>生成式AI服务、个人信息和内容治理</x:v>
      </x:c>
      <x:c r="F21" s="77" t="str">
        <x:v>https://www.cac.gov.cn/2023-07/13/c_1690898327029107.htm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c7fa36fe24ac4acf"/>
  </x:tableParts>
</x:worksheet>
</file>